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runar\Desktop\"/>
    </mc:Choice>
  </mc:AlternateContent>
  <xr:revisionPtr revIDLastSave="0" documentId="13_ncr:1_{6872CA10-853C-45B1-9C72-125E000359D1}" xr6:coauthVersionLast="47" xr6:coauthVersionMax="47" xr10:uidLastSave="{00000000-0000-0000-0000-000000000000}"/>
  <bookViews>
    <workbookView xWindow="-120" yWindow="-120" windowWidth="51840" windowHeight="21840" tabRatio="500" xr2:uid="{00000000-000D-0000-FFFF-FFFF00000000}"/>
  </bookViews>
  <sheets>
    <sheet name="BOM" sheetId="1" r:id="rId1"/>
    <sheet name="Leveranciers" sheetId="2" r:id="rId2"/>
    <sheet name="Alternatieven" sheetId="3" r:id="rId3"/>
    <sheet name="Compatibiliteit" sheetId="4" r:id="rId4"/>
    <sheet name="Wijzigingen" sheetId="5" r:id="rId5"/>
    <sheet name="Aanname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5" i="3" l="1"/>
  <c r="A15" i="3"/>
  <c r="E14" i="3"/>
  <c r="A14" i="3"/>
  <c r="E13" i="3"/>
  <c r="A13" i="3"/>
  <c r="E12" i="3"/>
  <c r="A12" i="3"/>
  <c r="E11" i="3"/>
  <c r="A11" i="3"/>
  <c r="E10" i="3"/>
  <c r="A10" i="3"/>
  <c r="E9" i="3"/>
  <c r="A9" i="3"/>
  <c r="E8" i="3"/>
  <c r="A8" i="3"/>
  <c r="E7" i="3"/>
  <c r="A7" i="3"/>
  <c r="E6" i="3"/>
  <c r="A6" i="3"/>
  <c r="E5" i="3"/>
  <c r="A5" i="3"/>
  <c r="J49" i="1"/>
  <c r="J48" i="1"/>
  <c r="K40" i="1"/>
  <c r="K39" i="1"/>
  <c r="K38" i="1"/>
  <c r="K30" i="1"/>
  <c r="I30" i="1"/>
  <c r="I29" i="1"/>
  <c r="K29" i="1" s="1"/>
  <c r="I28" i="1"/>
  <c r="K28" i="1" s="1"/>
  <c r="I27" i="1"/>
  <c r="K27" i="1" s="1"/>
  <c r="K37" i="1" s="1"/>
  <c r="I26" i="1"/>
  <c r="K26" i="1" s="1"/>
  <c r="I25" i="1"/>
  <c r="K25" i="1" s="1"/>
  <c r="I24" i="1"/>
  <c r="K24" i="1" s="1"/>
  <c r="J23" i="1"/>
  <c r="I23" i="1"/>
  <c r="K23" i="1" s="1"/>
  <c r="I22" i="1"/>
  <c r="K22" i="1" s="1"/>
  <c r="I21" i="1"/>
  <c r="K21" i="1" s="1"/>
  <c r="I20" i="1"/>
  <c r="K20" i="1" s="1"/>
  <c r="I19" i="1"/>
  <c r="K19" i="1" s="1"/>
  <c r="I18" i="1"/>
  <c r="K18" i="1" s="1"/>
  <c r="I17" i="1"/>
  <c r="K17" i="1" s="1"/>
  <c r="I16" i="1"/>
  <c r="K16" i="1" s="1"/>
  <c r="B6" i="2" s="1"/>
  <c r="I15" i="1"/>
  <c r="K15" i="1" s="1"/>
  <c r="I14" i="1"/>
  <c r="K14" i="1" s="1"/>
  <c r="B5" i="2" s="1"/>
  <c r="I12" i="1"/>
  <c r="K12" i="1" s="1"/>
  <c r="I11" i="1"/>
  <c r="K11" i="1" s="1"/>
  <c r="I10" i="1"/>
  <c r="K10" i="1" s="1"/>
  <c r="B10" i="2" s="1"/>
  <c r="I9" i="1"/>
  <c r="K9" i="1" s="1"/>
  <c r="B9" i="2" s="1"/>
  <c r="I8" i="1"/>
  <c r="K8" i="1" s="1"/>
  <c r="B8" i="2" s="1"/>
  <c r="J7" i="1"/>
  <c r="I7" i="1"/>
  <c r="K7" i="1" s="1"/>
  <c r="K6" i="1"/>
  <c r="J6" i="1"/>
  <c r="I6" i="1"/>
  <c r="F6" i="2" l="1"/>
  <c r="G6" i="2"/>
  <c r="F5" i="2"/>
  <c r="G5" i="2"/>
  <c r="F10" i="2"/>
  <c r="G10" i="2" s="1"/>
  <c r="F9" i="2"/>
  <c r="G9" i="2" s="1"/>
  <c r="F8" i="2"/>
  <c r="G8" i="2" s="1"/>
  <c r="K32" i="1"/>
  <c r="B7" i="2"/>
  <c r="B11" i="2" s="1"/>
  <c r="B13" i="2" s="1"/>
  <c r="K42" i="1" s="1"/>
  <c r="F7" i="2" l="1"/>
  <c r="F11" i="2" l="1"/>
  <c r="K33" i="1" s="1"/>
  <c r="K34" i="1" s="1"/>
  <c r="G7" i="2"/>
  <c r="G11" i="2" s="1"/>
  <c r="K35" i="1" l="1"/>
  <c r="K36" i="1" s="1"/>
</calcChain>
</file>

<file path=xl/sharedStrings.xml><?xml version="1.0" encoding="utf-8"?>
<sst xmlns="http://schemas.openxmlformats.org/spreadsheetml/2006/main" count="538" uniqueCount="397">
  <si>
    <t>BOM: ESP32 Hue/RGB-lamptester (Light-Colour-Led-Testbench)</t>
  </si>
  <si>
    <t>Prijzen in € incl. 21% btw, gecontroleerd op 2026-10-26. Deel A is aan te kopen, deel B is al in bezit of komt van school. Gele cellen mag je aanpassen. Oranje prijs = schatting. Onderaan staan alternatieven voor de licht- en kleursensor (niet meegeteld).</t>
  </si>
  <si>
    <t>Ref</t>
  </si>
  <si>
    <t>Onderdeel</t>
  </si>
  <si>
    <t>Korte beschrijving</t>
  </si>
  <si>
    <t>Waarom nodig en waarom deze keuze</t>
  </si>
  <si>
    <t>Link naar webshop</t>
  </si>
  <si>
    <t>Aantal nodig</t>
  </si>
  <si>
    <t>Hergebruik (in bezit)</t>
  </si>
  <si>
    <t>Reserve (stuks)</t>
  </si>
  <si>
    <t>Te kopen</t>
  </si>
  <si>
    <t>Prijs per stuk incl. btw</t>
  </si>
  <si>
    <t>Totaal incl. btw</t>
  </si>
  <si>
    <t>Leverancier</t>
  </si>
  <si>
    <t>Voorraad en levertijd</t>
  </si>
  <si>
    <t>Jouw originele lijst</t>
  </si>
  <si>
    <t>Prijsstatus</t>
  </si>
  <si>
    <t>Opmerking (hergebruik / beschikbaarheid)</t>
  </si>
  <si>
    <t>A. Aan te kopen</t>
  </si>
  <si>
    <t>R01</t>
  </si>
  <si>
    <t>AS7341 kleur-/spectraalsensor</t>
  </si>
  <si>
    <t>10-kanaals spectraalsensor (Adafruit ADA-4698), I2C 0x39. Meet kleur en spectrum van de lamp.</t>
  </si>
  <si>
    <t>Nodig om de kleur van de Hue-lamp objectief te meten. De AS7341 meet 8 zichtbare banden plus NIR en clear, dat is nauwkeuriger dan een gewone RGB-sensor. Gekozen boven goedkopere sensoren (zie onderaan) voor een betere kleurcontrole. Geen reserve: duur; alternatieve webshops staan op het tabblad Alternatieven.</t>
  </si>
  <si>
    <t>Koop hier</t>
  </si>
  <si>
    <t>Kiwi Electronics</t>
  </si>
  <si>
    <t>Kiwi toont € 15,29 excl. btw (= € 18,50 incl.). Voorraad niet zichtbaar; Adafruit.com meldt 'out of stock'. Bevestigen in winkelwagen.</t>
  </si>
  <si>
    <t>Ja (in je lijst)</t>
  </si>
  <si>
    <t>Geverifieerd</t>
  </si>
  <si>
    <t>R02</t>
  </si>
  <si>
    <t>BH1750 luxsensor (Adafruit, STEMMA QT)</t>
  </si>
  <si>
    <t>Digitale lichtsensor in lux (BH1750-chip), I2C 0x23, 3-5 V, op Adafruit-bordje met STEMMA QT-connector. Meet lichtintensiteit.</t>
  </si>
  <si>
    <t>Nodig om de helderheid van de lamp (dimstappen) in lux te controleren. Zelfde BH1750-chip als de GY-302 uit je oorspronkelijke lijst; die is bij AZ-Delivery niet leverbaar ('Notify me when available'), dus dit is nu de hoofdkeuze. Bovendien kan hij samen met de AS7341 bij Kiwi besteld worden, wat aparte verzending bespaart. Ander I2C-adres dan de AS7341 (geen conflict).</t>
  </si>
  <si>
    <t>30+ stuks op voorraad (door de groep gecontroleerd op 2026-10-26). Kiwi toont € 4,09 excl. btw.</t>
  </si>
  <si>
    <t>Aangepast (GY-302 niet leverbaar)</t>
  </si>
  <si>
    <t>Header-strip zit meestal los bij het bordje; de header pins van school kunnen ook gebruikt worden.</t>
  </si>
  <si>
    <t>R03</t>
  </si>
  <si>
    <t>1,3" IPS-TFT display 240x240</t>
  </si>
  <si>
    <t>ST7789V3, SPI, 3,3 V. Toont kleur, hex/RGB en lux.</t>
  </si>
  <si>
    <t>De opdracht vraagt het resultaat op een klein display bij de ESP32, zodat er geen laptop nodig is. 1,3" met 240x240 pixels is goed leesbaar, werkt op 3,3 V en heeft SPI, dus snel genoeg en past bij de ESP32.</t>
  </si>
  <si>
    <t>Tinytronics</t>
  </si>
  <si>
    <t>Direct leverbaar uit magazijn Eindhoven.</t>
  </si>
  <si>
    <t>R04</t>
  </si>
  <si>
    <t>LED 5 mm rood</t>
  </si>
  <si>
    <t>Statuslampje (meting bezig).</t>
  </si>
  <si>
    <t>Geeft in het donker zichtbaar aan dat een meting bezig is. Rood is goedkoop en valt weinig op in de kleurmeting, maar de LED is toch een lichtbron: afschermen van de sensoren.</t>
  </si>
  <si>
    <t>Bits &amp; Parts</t>
  </si>
  <si>
    <t>In assortiment; verzonden zelfde dag bij bestelling vóór 16:00.</t>
  </si>
  <si>
    <t>R05</t>
  </si>
  <si>
    <t>E27-fitting met snoer, schakelaar en stekker (zwart, 3,5 m)</t>
  </si>
  <si>
    <t>Kant-en-klaar lampsnoer met schakelaar en stekker om de lamp rechtstreeks te voeden. Zwart, 2 x 0,75 mm², max. 250 V, CE zichtbaar.</t>
  </si>
  <si>
    <t>Voedt de E27-lamp veilig vanaf het stopcontact. Kant-en-klaar en CE-gemarkeerd, zodat niemand zelf aan 230 V hoeft te werken. De schakelaar laat de lamp uit tijdens het opbouwen en de 3,5 m laat de stekker buiten de doos. Gekozen door de groep (bol.com-product).</t>
  </si>
  <si>
    <t>bol.com (verkoper Prinos.nl)</t>
  </si>
  <si>
    <t>Levering uiterlijk 5 november; geen aparte verzendkosten. Stekkertype staat niet vermeld.</t>
  </si>
  <si>
    <t>Ja (in je lijst), aangepast</t>
  </si>
  <si>
    <t>R06</t>
  </si>
  <si>
    <t>Breadboard 830 punten (MB102)</t>
  </si>
  <si>
    <t>Steekbord voor het opbouwen van de schakeling.</t>
  </si>
  <si>
    <t>Hiermee bouw en wijzig je de schakeling zonder te solderen. 830 punten geeft plaats voor de 30-pin ESP32 én de modules.</t>
  </si>
  <si>
    <t>Op voorraad. In de winkelwagen: € 3,95 met 20% korting.</t>
  </si>
  <si>
    <t>Nieuw (ontbrak)</t>
  </si>
  <si>
    <t>R07</t>
  </si>
  <si>
    <t>Servo SG90 micro, 9 g</t>
  </si>
  <si>
    <t>Servomotortje om de Hue Motion Sensor te triggeren, 4,8-6 V, PWM.</t>
  </si>
  <si>
    <t>Beweegt een warm voorwerp of plaatje herhaald en op commando voor de bewegingssensor, zodat reactiesnelheid en betrouwbaarheid meetbaar zijn. Vervangt de DC-motor uit de originele lijst: een servo heeft een vaste positie, één PWM-draad en geen driver nodig.</t>
  </si>
  <si>
    <t>Direct uit voorraad (270 graden versie).</t>
  </si>
  <si>
    <t>Vervangt DC-motor</t>
  </si>
  <si>
    <t>Enkel nodig voor de bewegingstest. Krijgen we de Hue Motion Sensor niet van school, dan laten we de servo achterwege en vervalt dit bedrag.</t>
  </si>
  <si>
    <t>B. Reeds in bezit of van school te krijgen, niet aangekocht</t>
  </si>
  <si>
    <t>R08</t>
  </si>
  <si>
    <t>Philips Hue Bridge (v2)</t>
  </si>
  <si>
    <t>Hub voor Zigbee-lamp en -sensor. Incl. voeding en ethernetkabel. Biedt de lokale API voor de ESP32.</t>
  </si>
  <si>
    <t>Zonder Bridge werken de Zigbee-lamp en -bewegingssensor niet, en de ESP32 gebruikt de lokale API van de Bridge om de lamp te sturen. De v2 is het goedkoopst en volledig voldoende; de Pro is duurder zonder voordeel voor dit project. Er is een vrije LAN-poort op de router nodig.</t>
  </si>
  <si>
    <t>Philips Hue (BE)</t>
  </si>
  <si>
    <t>Van school (verwacht). Referentie: Op voorraad bij Philips Hue BE. Bij Gamma 'bijna uitverkocht'. Gratis verzending vanaf € 50.</t>
  </si>
  <si>
    <t>Naar verwachting krijgen we dit materiaal van school. Wordt dit uiteindelijk niet bevestigd, dan kopen we het alsnog: zet dan kolom G op 0, prijs en leverancier staan er al (zie ook het tabblad Alternatieven). Zonder Bridge is er niets te testen.</t>
  </si>
  <si>
    <t>R09</t>
  </si>
  <si>
    <t>Philips Hue Motion Sensor (binnen)</t>
  </si>
  <si>
    <t>Zigbee-bewegingssensor, 2x AAA. Werkt enkel met een Hue Bridge.</t>
  </si>
  <si>
    <t>Dit is het toestel dat de servo moet triggeren: de test meet hoe snel en hoe betrouwbaar de sensor opnieuw afgaat. Het moet de originele Hue-sensor zijn omdat andere PIR-sensoren niet met de Bridge samenwerken.</t>
  </si>
  <si>
    <t>Van school (verwacht). Referentie: Op voorraad bij Philips Hue BE. Gratis verzending vanaf € 50.</t>
  </si>
  <si>
    <t>Naar verwachting krijgen we dit materiaal van school. Wordt dit uiteindelijk niet bevestigd, dan kopen we het alsnog: zet dan kolom G op 0, prijs en leverancier staan er al (zie ook het tabblad Alternatieven). Krijgen we de bewegingssensor niet, dan laten we de bewegingstest achterwege; dan vervallen ook de servo (R07), het warmtematje (R24) en de bijbehorende 3D-geprinte houders. De kleur- en luxtest van de lamp blijft ongewijzigd.</t>
  </si>
  <si>
    <t>R10</t>
  </si>
  <si>
    <t>Philips Hue White and Color Ambiance E27 1100 lm</t>
  </si>
  <si>
    <t>Te testen kleurlamp, 16 miljoen kleuren, E27.</t>
  </si>
  <si>
    <t>Het te testen toestel: een kleurlamp is nodig om kleur en helderheid te verifiëren. Dit model heeft E27 en 1100 lm, de gangbare Hue-kleurlamp. Een goedkopere reservelamp staat bij Alternatieven.</t>
  </si>
  <si>
    <t>Coolblue</t>
  </si>
  <si>
    <t>Van school (verwacht). Referentie: Besteld vóór 23:59, morgen gratis geleverd. Prijs € 54,95 uit Coolblue-lijst; controleer in de coolblue.be-winkelwagen.</t>
  </si>
  <si>
    <t>Naar verwachting krijgen we dit materiaal van school. Wordt dit uiteindelijk niet bevestigd, dan kopen we het alsnog: zet dan kolom G op 0, prijs en leverancier staan er al (zie ook het tabblad Alternatieven). Zonder lamp is er niets te testen.</t>
  </si>
  <si>
    <t>R11</t>
  </si>
  <si>
    <t>ESP32 DevKit V1, 30-pin</t>
  </si>
  <si>
    <t>Microcontroller met Wi-Fi, micro-USB, 3,3 V-logica. Draait MicroPython.</t>
  </si>
  <si>
    <t>Het brein van de testbank: leest de sensoren, stuurt display en servo aan en praat via Wi-Fi met de Hue Bridge. De DevKit V1 30-pin heeft 3,3 V-logica, MicroPython-ondersteuning en genoeg vrije pinnen. Al op school; de link verwijst naar de variant met losse (nog te solderen) pinnen.</t>
  </si>
  <si>
    <t>Otronic</t>
  </si>
  <si>
    <t>Otronic: € 11,55 incl. btw, 42 stuks op voorraad; bestellingen vóór 14:00 op werkdagen gaan dezelfde dag weg. Pinnen worden los meegeleverd. De Otronic-verzending (€ 7,00 in de winkelwagen) vervalt, want de ESP32 komt van school.</t>
  </si>
  <si>
    <t>Reeds beschikbaar op school (hergebruik); niet aangekocht. Is de school-ESP32 zonder gesoldeerde pinnen, dan moeten ze eerst gesoldeerd worden.</t>
  </si>
  <si>
    <t>R12</t>
  </si>
  <si>
    <t>Drukknop 6x6 mm</t>
  </si>
  <si>
    <t>Wisselt tussen kleur- en luxweergave (GPIO27 naar GND, interne pull-up).</t>
  </si>
  <si>
    <t>Laat zonder laptop wisselen tussen kleur- en luxweergave. Met de interne pull-up van de ESP32 op GPIO27 is geen extra weerstand nodig.</t>
  </si>
  <si>
    <t>Reeds beschikbaar op school (hergebruik); niet aangekocht.</t>
  </si>
  <si>
    <t>R13</t>
  </si>
  <si>
    <t>Weerstand 330 Ohm, 1/4 W</t>
  </si>
  <si>
    <t>Stroombegrenzing voor de status-LED.</t>
  </si>
  <si>
    <t>Beperkt de stroom door de status-LED tot ongeveer 4 mA op 3,3 V, zodat LED en GPIO niet beschadigen.</t>
  </si>
  <si>
    <t>Direct uit voorraad.</t>
  </si>
  <si>
    <t>R14</t>
  </si>
  <si>
    <t>Condensator 100 nF keramisch</t>
  </si>
  <si>
    <t>Ontkoppeling van de voedingsrail, dicht bij de modules plaatsen.</t>
  </si>
  <si>
    <t>Ontkoppelt de voedingsrail en vlakt snelle pieken af. Aantal 3: één bij de servo, één bij de ESP32 (3V3/GND) en één bij de sensoren. Keramisch, want snel en niet-gepolariseerd; de modules hebben zelf ook al condensatoren, dus dit is extra veiligheid.</t>
  </si>
  <si>
    <t>In assortiment.</t>
  </si>
  <si>
    <t>Reeds beschikbaar op school (hergebruik); niet aangekocht. Keramisch 100 nF; controleer de waarde op het onderdeel.</t>
  </si>
  <si>
    <t>R15</t>
  </si>
  <si>
    <t>Elco 1000 uF / 35 V</t>
  </si>
  <si>
    <t>Buffer tegen Wi-Fi- en servopieken. Vervangt 470 uF / 10 V (te krap op 5 V). Let op polariteit.</t>
  </si>
  <si>
    <t>Buffert pieken bij het starten van de servo en bij Wi-Fi-pieken, zodat de ESP32 niet reset (brown-out). 35 V geeft veel marge boven de 5 V-rail; 1000 µF is genoeg voor één SG90. Plaats hem op de 5 V-rail bij de servo.</t>
  </si>
  <si>
    <t>Aangepast (470 uF / 10 V)</t>
  </si>
  <si>
    <t>Reeds beschikbaar op school (hergebruik); niet aangekocht. Let op: minstens 16 V en juiste polariteit (streep = min).</t>
  </si>
  <si>
    <t>R16</t>
  </si>
  <si>
    <t>Voedingsadapter 5 V / 2 A micro-USB</t>
  </si>
  <si>
    <t>Voedt ESP32, display, sensoren en servo. Typische gsm-lader.</t>
  </si>
  <si>
    <t>Voedt de testbank zonder laptop. De servo trekt pieken, dus ruim stroom: een gsm-lader van 5 V met 1 A of meer volstaat. Hij wordt met de USB-kabel hieronder aan de ESP32 gehangen.</t>
  </si>
  <si>
    <t>Reeds beschikbaar op school (hergebruik); niet aangekocht. Typische gsm-lader met USB-A (5 V, liefst 2 A); wordt gecombineerd met de USB-kabel.</t>
  </si>
  <si>
    <t>R17</t>
  </si>
  <si>
    <t>Micro-USB datakabel 1 m</t>
  </si>
  <si>
    <t>USB-A naar Micro-B met data, om te programmeren (USB 2.0).</t>
  </si>
  <si>
    <t>Nodig om de ESP32 te programmeren (MicroPython) en daarna te voeden. Moet een datakabel zijn; kabels enkel voor laden werken niet.</t>
  </si>
  <si>
    <t>138 stuks op voorraad. Kiwi toont € 1,99 excl. btw.</t>
  </si>
  <si>
    <t>Reeds beschikbaar op school (hergebruik); niet aangekocht. Moet een datakabel zijn (geen kabel enkel voor laden).</t>
  </si>
  <si>
    <t>R18</t>
  </si>
  <si>
    <t>Jumperdraden male/male, 65 stuks</t>
  </si>
  <si>
    <t>Verbindingen op het breadboard.</t>
  </si>
  <si>
    <t>Verbindt de onderdelen op het breadboard en brengt de servo-stekker (female) naar het breadboard. Met ongebruikte, identieke draden zijn contacten betrouwbaar en is de kleurcodering eenduidig.</t>
  </si>
  <si>
    <t>Op voorraad.</t>
  </si>
  <si>
    <t>Reeds in bezit. We gebruiken ongebruikte en identieke draden doorheen het hele project (betrouwbare contacten, eenduidige kleurcodering).</t>
  </si>
  <si>
    <t>R19</t>
  </si>
  <si>
    <t>Dupont-kabels female/male 20 cm, 40 stuks</t>
  </si>
  <si>
    <t>Voor display, sensoren en servo.</t>
  </si>
  <si>
    <t>Verbindt modules met pinnen (display, sensoren) met het breadboard zonder te solderen. 20 cm laat toe de sensoren op afstand van de ESP32 te plaatsen.</t>
  </si>
  <si>
    <t>Reeds in bezit.</t>
  </si>
  <si>
    <t>R20</t>
  </si>
  <si>
    <t>Header pins male 1x40, 2,54 mm</t>
  </si>
  <si>
    <t>Voor ESP32 (indien zonder pinnen), BH1750, AS7341 en display (soldeerbout nodig).</t>
  </si>
  <si>
    <t>Pinnen worden aan modules gesoldeerd zodat ze in het breadboard of in Dupont-kabels passen. Bij de modules zitten meestal pinnen; de ESP32-variant van Otronic komt met losse pinnen. Op school aanwezig, dus niet aangekocht.</t>
  </si>
  <si>
    <t>Reeds op school aanwezig.</t>
  </si>
  <si>
    <t>Reeds in bezit (school/groep); niet aangekocht. Soldeerbout en tin zijn ook op school.</t>
  </si>
  <si>
    <t>R21</t>
  </si>
  <si>
    <t>Dubbelzijdige tape of hotglue</t>
  </si>
  <si>
    <t>Sensoren, display en servo bevestigen waar geen 3D-geprint onderdeel voor is.</t>
  </si>
  <si>
    <t>Voor het vastzetten van wat niet geprint wordt (kabels, doos). Een stabiele bevestiging houdt afstand en hoek tot de lamp constant, en dat bepaalt de meetnauwkeurigheid.</t>
  </si>
  <si>
    <t>Geen link: lokaal kopen (bv. hobbywinkel)</t>
  </si>
  <si>
    <t>Hobbywinkel (afhalen)</t>
  </si>
  <si>
    <t>Schatting</t>
  </si>
  <si>
    <t>Reeds in bezit (school/groep); niet aangekocht.</t>
  </si>
  <si>
    <t>R22</t>
  </si>
  <si>
    <t>Zwart karton, vilt of verf (doos)</t>
  </si>
  <si>
    <t>Donkere meetopstelling: de testmodule komt in een grote kartonnen doos (of vergelijkbaar). Binnenzijde zwart maken.</t>
  </si>
  <si>
    <t>Lichtmetingen vragen een donkere ruimte zonder reflecties. Een grote kartonnen doos is goedkoop en makkelijk aan te passen; zwart binnenin vermindert omgevingslicht en terugkaatsing.</t>
  </si>
  <si>
    <t>Reeds in bezit (school/groep); niet aangekocht. Een bestaande doos wordt hergebruikt; kies een doos die groot genoeg is voor lamp, sensoren en de Hue Motion Sensor, en zorg voor luchtopening of ventilatie omdat de lamp en een eventueel warmtematje de doos opwarmen.</t>
  </si>
  <si>
    <t>R23</t>
  </si>
  <si>
    <t>3D-geprinte onderdelen (op maat)</t>
  </si>
  <si>
    <t>Kleine hardwaredelen worden custom 3D-geprint: houders voor AS7341 en BH1750, display, servo- en sensorsteun, servoarm voor het plaatje.</t>
  </si>
  <si>
    <t>Met eigen ontwerpen liggen afstand en hoek tussen lamp en sensor vast en zijn metingen herhaalbaar, wat met tape niet lukt. Kosten zijn enkel het filament (PLA, schatting ongeveer € 2 incl. mislukte prints); de printer is van school of de groep.</t>
  </si>
  <si>
    <t>Geen link: zelf printen (eigen ontwerp/STL)</t>
  </si>
  <si>
    <t>School / eigen 3D-printer</t>
  </si>
  <si>
    <t>Printer en filament zijn beschikbaar.</t>
  </si>
  <si>
    <t>Nieuw (op verzoek)</t>
  </si>
  <si>
    <t>Reeds in bezit (school/groep); niet aangekocht. Enkel de ontwerpen moeten nog gemaakt worden. Meet de modules op vóór het ontwerp en print eerst een testexemplaar.</t>
  </si>
  <si>
    <t>R24</t>
  </si>
  <si>
    <t>Warmtematje (optioneel) of handwarmer als warmtebron</t>
  </si>
  <si>
    <t>Warmtebron om de PIR-sensor te triggeren: het warmtematje dat de groep al heeft. Alternatief: een herbruikbare handwarmer op de servoarm.</t>
  </si>
  <si>
    <t>Een PIR-sensor reageert op warmteverschil en niet op een voorwerp dat even warm is als de omgeving. Daarom een warmtebron als trigger; een handwarmer is goedkoop en herbruikbaar.</t>
  </si>
  <si>
    <t>Geen link: warmtematje reeds in bezit</t>
  </si>
  <si>
    <t>Reeds in bezit (warmtematje). Handwarmer alleen kopen als het matje niet werkt.</t>
  </si>
  <si>
    <t>Een PIR-sensor reageert op warmteverschil en werkt mogelijk niet met een voorwerp dat dezelfde temperatuur heeft als de omgeving. Daarom kan de student een warmtematje gebruiken om de sensor te triggeren: het matje ligt vast achter het pad van de servo en de servo beweegt een plaatje ervoor langs. Optioneel: werkt de sensor al met alleen het plaatje, dan is het matje niet nodig. Krijgen we de bewegingssensor niet, dan vervalt het matje samen met de servo. Prijs is een schatting van de vervangwaarde.</t>
  </si>
  <si>
    <t>Onderdelen incl. btw</t>
  </si>
  <si>
    <t>Verzendkosten incl. btw</t>
  </si>
  <si>
    <t>TOTAAL incl. btw</t>
  </si>
  <si>
    <t>TOTAAL excl. btw</t>
  </si>
  <si>
    <t>Btw (21%)</t>
  </si>
  <si>
    <t>Waarvan geschatte prijzen</t>
  </si>
  <si>
    <t>Waarde reeds in bezit (school, zonder Hue)</t>
  </si>
  <si>
    <t>Waarde Hue-materiaal (verwacht van school)</t>
  </si>
  <si>
    <t>Meerprijs als Hue-materiaal toch niet van school komt</t>
  </si>
  <si>
    <t>Controle: som leveranciers = onderdelen</t>
  </si>
  <si>
    <t>C. Alternatieven voor de licht- en kleursensor (NIET meegeteld in het totaal)</t>
  </si>
  <si>
    <t>Alternatief</t>
  </si>
  <si>
    <t>Waarom we dit niet gebruiken</t>
  </si>
  <si>
    <t>Prijs incl. btw</t>
  </si>
  <si>
    <t>Voorraad</t>
  </si>
  <si>
    <t>Vervangt</t>
  </si>
  <si>
    <t>A1</t>
  </si>
  <si>
    <t>TCS34725 RGB-kleursensor module</t>
  </si>
  <si>
    <t>Goedkope RGB+clear-sensor (4 kanalen), I2C 0x29, 3,3-5 V, met 2 ingebouwde leds.</t>
  </si>
  <si>
    <t>Maar 4 kanalen (rood, groen, blauw, clear) tegen 10 bij de AS7341: te weinig spectrale resolutie om de kleur van een Hue-lamp goed te verifiëren. De ingebouwde leds verstoren in het donker de lampmeting, tenzij je ze uitschakelt. Wel veel goedkoper (circa € 14 minder); een goede keuze als het budget krap is. (In de oude README stond deze sensor al.)</t>
  </si>
  <si>
    <t>Bekijk</t>
  </si>
  <si>
    <t>50+ stuks op voorraad (Eindhoven).</t>
  </si>
  <si>
    <t>Vervangt AS7341</t>
  </si>
  <si>
    <t>A2</t>
  </si>
  <si>
    <t>Adafruit AS7343 14-kanaals licht- en kleursensor</t>
  </si>
  <si>
    <t>Opvolger van de AS7341 met 14 kanalen, STEMMA QT, I2C.</t>
  </si>
  <si>
    <t>Meer kanalen, maar dat is voor dit project niet nodig: de AS7341 is voldoende om kleurafwijkingen te meten. Ongeveer € 4 duurder en nieuwer product, dus waarschijnlijk minder voorbeeldcode voor MicroPython (niet gecontroleerd). Goede upgrade als de AS7341 niet leverbaar is.</t>
  </si>
  <si>
    <t>Voorraad niet getoond; bevestigen in winkelwagen.</t>
  </si>
  <si>
    <t>A3</t>
  </si>
  <si>
    <t>Adafruit TSL2591 lichtsensor, hoog dynamisch bereik</t>
  </si>
  <si>
    <t>Lux-sensor met zeer groot dynamisch bereik (laag licht tot fel zonlicht), I2C 0x29, STEMMA QT.</t>
  </si>
  <si>
    <t>Nauwkeuriger bij zeer weinig of zeer veel licht, maar daar hebben we geen behoefte aan: de BH1750 volstaat voor een lamp op korte afstand in een donkere doos. Circa € 2 duurder. Adres 0x29 botst niet met de AS7341 (0x39). Goede keuze als de BH1750 in de test verzadigt.</t>
  </si>
  <si>
    <t>Vervangt BH1750</t>
  </si>
  <si>
    <t>A4</t>
  </si>
  <si>
    <t>GY-302 BH1750 lichtsensor (AZ-Delivery)</t>
  </si>
  <si>
    <t>BH1750-chip op goedkoop GY-302-bordje, I2C 0x23, 3-5 V; stond in je oorspronkelijke lijst.</t>
  </si>
  <si>
    <t>Zelfde chip en dus dezelfde meting, maar bij AZ-Delivery op 2026-10-26 niet leverbaar (knop 'Notify me when available'). Bovendien duurder (€ 5,49) dan de Adafruit-versie bij Kiwi en met eigen verzendkosten. Weer een optie zodra hij terug op voorraad is.</t>
  </si>
  <si>
    <t>AZ-Delivery</t>
  </si>
  <si>
    <t>Niet leverbaar op 2026-10-26.</t>
  </si>
  <si>
    <t>Deze alternatieven zitten niet in de SOM, de verzendkosten of de btw-berekening hierboven.</t>
  </si>
  <si>
    <t>Verzending per leverancier</t>
  </si>
  <si>
    <t>Verzending wordt per leverancier berekend: gratis vanaf de drempel, anders het tarief. Gele cellen zijn aanpasbaar. Alleen te kopen onderdelen tellen mee.</t>
  </si>
  <si>
    <t>Subtotaal incl. btw</t>
  </si>
  <si>
    <t>Gratis vanaf (€)</t>
  </si>
  <si>
    <t>Tarief onder drempel (€)</t>
  </si>
  <si>
    <t>Status tarief</t>
  </si>
  <si>
    <t>Verzendkosten</t>
  </si>
  <si>
    <t>Totaal incl. verzending</t>
  </si>
  <si>
    <t>Opmerking</t>
  </si>
  <si>
    <t>Drempel geverifieerd, tarief geschat</t>
  </si>
  <si>
    <t>Gratis verzending vanaf € 50.</t>
  </si>
  <si>
    <t>Gratis levering volgens de productpagina.</t>
  </si>
  <si>
    <t>Geverifieerd in winkelwagen (groep, 26 okt)</t>
  </si>
  <si>
    <t>Eén verzending voor alle Kiwi-artikelen (AS7341 en BH1750). Gratis naar België vanaf € 100.</t>
  </si>
  <si>
    <t>Geverifieerd in winkelwagen (groep, 26 okt); drempel niet gevonden</t>
  </si>
  <si>
    <t>PostNL pakket: € 7,29 excl. btw = € 8,82 incl. btw (totaal winkelwagen € 15,32). Hoger dan de prijs van het display (€ 6,50); subtotaal ligt onder elke gangbare drempel.</t>
  </si>
  <si>
    <t>Gratis vanaf € 80 (pakketartikelen).</t>
  </si>
  <si>
    <t>Geverifieerd: geen aparte verzendkosten</t>
  </si>
  <si>
    <t>Geen aparte verzendkosten (aanbieding vermeldt 'inclusief verzendkosten'; bevestigd door de groep).</t>
  </si>
  <si>
    <t>TOTAAL</t>
  </si>
  <si>
    <t>Controle: alle BOM-leveranciers staan in deze lijst</t>
  </si>
  <si>
    <t>Tip: minder verzending betalen kan door onderdelen bij één shop te bundelen en de totaalprijs te vergelijken.</t>
  </si>
  <si>
    <t>Alternatieven bij dure of kritieke onderdelen</t>
  </si>
  <si>
    <t>Verschil = prijs alternatief min gekozen onderdeel. Blauwe prijzen zijn ingevoerd, zwarte komen uit de BOM. Alternatieven voor de licht- en kleursensor staan onderaan het tabblad BOM.</t>
  </si>
  <si>
    <t>Onderdeel in BOM</t>
  </si>
  <si>
    <t>Link</t>
  </si>
  <si>
    <t>Verschil met BOM</t>
  </si>
  <si>
    <t>Voordelen</t>
  </si>
  <si>
    <t>Nadelen / risico</t>
  </si>
  <si>
    <t>Advies</t>
  </si>
  <si>
    <t>Hue Bridge bij Gamma.be</t>
  </si>
  <si>
    <t>Zelfde Bridge v2; € 10 duurder maar afhalen of thuis leveren in België.</t>
  </si>
  <si>
    <t>Online 'bijna uitverkocht'.</t>
  </si>
  <si>
    <t>Alleen als Philips uitverkocht is</t>
  </si>
  <si>
    <t>Hue Bridge Pro</t>
  </si>
  <si>
    <t>Meer apparaten, MotionAware en SpatialAware; beter beschikbaar.</t>
  </si>
  <si>
    <t>Prijs steeg in 2026 van € 99,99 naar circa € 149,99 (adviesprijs). Voor dit project niet nodig.</t>
  </si>
  <si>
    <t>Niet nodig</t>
  </si>
  <si>
    <t>Starterpack 2x E27 + Bridge Pro (Coolblue, € 135)</t>
  </si>
  <si>
    <t>Eén bestelling, twee lampen (één reserve). Vergelijk met Bridge v2 + 1 lamp = € 114,94.</t>
  </si>
  <si>
    <t>Bridge Pro i.p.v. v2; Motion Sensor nog apart.</t>
  </si>
  <si>
    <t>Alleen bij reservelamp</t>
  </si>
  <si>
    <t>Hue Motion Sensor bij BCC.nl</t>
  </si>
  <si>
    <t>€ 5 goedkoper dan Philips BE; gratis verzending.</t>
  </si>
  <si>
    <t>Nederlandse shop, levering naar België niet bevestigd.</t>
  </si>
  <si>
    <t>Check levering naar BE</t>
  </si>
  <si>
    <t>Hue Motion Sensor bij Gamma.nl</t>
  </si>
  <si>
    <t>Goedkoopste gevonden.</t>
  </si>
  <si>
    <t>Nederlandse shop, € 4,95 verzending, levering naar België niet bevestigd.</t>
  </si>
  <si>
    <t>Hue Essential White and Color E27 (2-pack € 34,95, Hornbach NL)</t>
  </si>
  <si>
    <t>Veel goedkoper; goed als reservelamp of voor testen van de opstelling.</t>
  </si>
  <si>
    <t>Lagere lichtopbrengst (806 lm); niet de lamp die Brightsense test. Niet reserveerbaar online.</t>
  </si>
  <si>
    <t>Alleen voor ontwikkeling</t>
  </si>
  <si>
    <t>Hue White and Color E27 bij Hubo.be</t>
  </si>
  <si>
    <t>Belgische shop.</t>
  </si>
  <si>
    <t>€ 10 duurder; levering binnen 2 weken.</t>
  </si>
  <si>
    <t>Kopp Euro-aansluitsnoer met schakelaar en lamphouder E27, wit (2 m, Praxis.nl)</t>
  </si>
  <si>
    <t>Goedkoper, merkproduct van Kopp.</t>
  </si>
  <si>
    <t>Nederlandse shop, levering naar België en verzendkosten niet bevestigd; snoer korter (2 m); prijs niet opnieuw gecontroleerd.</t>
  </si>
  <si>
    <t>Reserveoptie</t>
  </si>
  <si>
    <t>Adafruit AS7341 rechtstreeks (US$ 18,95)</t>
  </si>
  <si>
    <t>zie link</t>
  </si>
  <si>
    <t>Bronshop; prijs in dollar (+ invoer en verzending).</t>
  </si>
  <si>
    <t>Meldt 'out of stock'; levering naar EU duurder.</t>
  </si>
  <si>
    <t>AS7341 bij Pimoroni (UK)</t>
  </si>
  <si>
    <t>Zelfde Adafruit-board.</t>
  </si>
  <si>
    <t>Prijs niet gecontroleerd; UK-import (douane/btw).</t>
  </si>
  <si>
    <t>AS7341 bij The Pi Hut (UK)</t>
  </si>
  <si>
    <t>Controle: compatibiliteit en ontbrekende onderdelen</t>
  </si>
  <si>
    <t>Gecontroleerd op papier (datasheets en productpagina's), niet op een echte opstelling. OK = geen probleem verwacht; Let op = beslissing of test nodig. GPIO-nummers zijn voorstellen.</t>
  </si>
  <si>
    <t>Controle</t>
  </si>
  <si>
    <t>Onderdelen</t>
  </si>
  <si>
    <t>Resultaat</t>
  </si>
  <si>
    <t>Toelichting en aanpak</t>
  </si>
  <si>
    <t>Logicaniveau en voeding</t>
  </si>
  <si>
    <t>ESP32, AS7341, BH1750, display</t>
  </si>
  <si>
    <t>OK</t>
  </si>
  <si>
    <t>ESP32 werkt op 3,3 V. AS7341-breakout en BH1750-bordje accepteren 3-5 V, het ST7789-display werkt op 3,3 V. Voed sensoren en display vanaf 3V3, niet vanaf 5 V.</t>
  </si>
  <si>
    <t>I2C-adressen</t>
  </si>
  <si>
    <t>AS7341 (0x39), BH1750 (0x23)</t>
  </si>
  <si>
    <t>Geen conflict. Beide aan SDA/SCL van de ESP32 (standaard GPIO21 en GPIO22). Beide bordjes hebben pull-ups; twee in parallel is geen probleem.</t>
  </si>
  <si>
    <t>SPI-display</t>
  </si>
  <si>
    <t>ESP32, ST7789 (7 pinnen, zonder CS)</t>
  </si>
  <si>
    <t>SPI op eigen pinnen (bv. SCK GPIO18, MOSI GPIO23), los van I2C. Zet CS niet als pin; reset, DC en backlight op vrije GPIO.</t>
  </si>
  <si>
    <t>Servo en voeding</t>
  </si>
  <si>
    <t>SG90, elco, 100 nF, adapter</t>
  </si>
  <si>
    <t>Let op</t>
  </si>
  <si>
    <t>SG90 heeft 4,8-6 V nodig: voed hem vanaf VIN (5 V), niet vanaf 3V3, met gemeenschappelijke massa. Het signaal van 3,3 V werkt meestal. Bij blokkeren pikt de servo hoger: adapter van minstens 1 A, elco van 1000 µF bij de servo en 100 nF als extra.</t>
  </si>
  <si>
    <t>Voeding via USB</t>
  </si>
  <si>
    <t>Gsm-lader, USB-kabel, ESP32</t>
  </si>
  <si>
    <t>De ESP32 krijgt 5 V via micro-USB; VIN levert dan ongeveer 5 V voor de servo. De kabel moet een datakabel zijn om te programmeren.</t>
  </si>
  <si>
    <t>Knop en LED</t>
  </si>
  <si>
    <t>Drukknop, LED, 330 Ω</t>
  </si>
  <si>
    <t>Knop op GPIO27 met interne pull-up. LED op een vrije GPIO via 330 Ω (ongeveer 4 mA). Vermijd GPIO 34-39 als uitgang en opstartpinnen (0, 2, 12, 15).</t>
  </si>
  <si>
    <t>Hue-systeem</t>
  </si>
  <si>
    <t>Bridge, Motion Sensor, lamp</t>
  </si>
  <si>
    <t>Zigbee-lamp en -sensor werken samen met de Bridge v2. Deze onderdelen krijgen we naar verwachting van school; vraag tijdig na welk model van Bridge (v2 of Pro) en welke lamp het is. De Bridge heeft een vrije LAN-poort en stroom nodig, en de ESP32 moet via Wi-Fi (2,4 GHz) op hetzelfde netwerk zitten. Schoolnetwerken hebben soms client-isolatie of een aparte login: test dit vooraf. Noodoplossing is een eigen kleine router of hotspot (niet in de BOM).</t>
  </si>
  <si>
    <t>Motion Sensor</t>
  </si>
  <si>
    <t>Hue Motion Sensor, servo, warmtebron</t>
  </si>
  <si>
    <t>Een PIR reageert op warmteverschil. Gebruik een warmtebron of warmtematje, zie de opmerking bij de warmtebron. Test in de doos of de sensor zonder omgevingsbeweging nog triggert; de lamp en het matje warmen de doos op. De sensor werkt op 2 AAA-batterijen (zouden meegeleverd zijn; controleer bij ontvangst).</t>
  </si>
  <si>
    <t>Netspanning en doos</t>
  </si>
  <si>
    <t>Lamp, lampsnoer, kartonnen doos</t>
  </si>
  <si>
    <t>Lamp van ongeveer 10 W op een snoer van 2 x 0,75 mm² is prima. Houd het snoer met trekontlasting in de doos, laat de stekker erbuiten en zorg voor luchtopening. Controleer het stekkertype. Niet zelf aan 230 V wiren.</t>
  </si>
  <si>
    <t>Lichtmeting</t>
  </si>
  <si>
    <t>AS7341, BH1750, display, LED, lamp</t>
  </si>
  <si>
    <t>De AS7341 kan verzadigen op een lamp van 1100 lm: werk met afstand, een diffusor en integratietijd. Het display (backlight) en de status-LED zijn lichtbronnen die de meting verstoren: schakel de backlight tijdens de meting uit of schaduw de sensoren af. Alles zwart binnenin.</t>
  </si>
  <si>
    <t>Mechanisch</t>
  </si>
  <si>
    <t>ESP32, breadboard, pinnen, kabels</t>
  </si>
  <si>
    <t>De 30-pin ESP32 past op een breadboard met 830 punten. De servo-stekker is female: gebruik male/male jumpers naar het breadboard en Dupont F/M voor display en sensoren. De ESP32 van Otronic (en eventueel de modules) komt met losse pinnen: solderen.</t>
  </si>
  <si>
    <t>3D-print</t>
  </si>
  <si>
    <t>Houders voor sensoren, display, servo</t>
  </si>
  <si>
    <t>Ontwerpen vragen de exacte maten van de modules. Meet na ontvangst en print eerst een testexemplaar. Houd een vaste afstand en hoek tot de lamp aan; dat bepaalt de herhaalbaarheid.</t>
  </si>
  <si>
    <t>Mogelijk vergeten</t>
  </si>
  <si>
    <t>Gereedschap en netwerk (niet in de BOM)</t>
  </si>
  <si>
    <t>Soldeerbout met tin, kniptang en een kleine schroevendraaier (school). Een vrije poort op een router voor de Bridge. Een computer met MicroPython-tools om te flashen. Een stopcontact in de buurt van de doos. Geen van deze is in de prijs opgenomen.</t>
  </si>
  <si>
    <t>Wijzigingen ten opzichte van je oorspronkelijke onderdelenlijst</t>
  </si>
  <si>
    <t>Origineel</t>
  </si>
  <si>
    <t>Probleem</t>
  </si>
  <si>
    <t>Oplossing in de BOM</t>
  </si>
  <si>
    <t>DC Motor (bewegingstest)</t>
  </si>
  <si>
    <t>Een DC-motor draait door en heeft een driver nodig; hij kan een sensor niet herhaald en op een vaste plek triggeren.</t>
  </si>
  <si>
    <t>Vervangen door SG90-servo (R07) + buffercondensator (R15). Servo op 5 V (VIN), signaal via een GPIO, massa gemeenschappelijk.</t>
  </si>
  <si>
    <t>(ontbrak) Hue Bridge</t>
  </si>
  <si>
    <t>Zigbee-lamp en Motion Sensor werken enkel via een Bridge; de ESP32 spreekt de Bridge aan via de lokale API.</t>
  </si>
  <si>
    <t>Toegevoegd (R08). Er is een vrije LAN-poort nodig.</t>
  </si>
  <si>
    <t>(ontbrak) Hue Motion Sensor</t>
  </si>
  <si>
    <t>De bewegingssensor die getest moet worden stond niet op de lijst.</t>
  </si>
  <si>
    <t>Toegevoegd (R09).</t>
  </si>
  <si>
    <t>Servo triggert PIR</t>
  </si>
  <si>
    <t>Een PIR reageert op bewegende warmte, niet op een bewegend stuk karton.</t>
  </si>
  <si>
    <t>Warmtematje (R24) dat vastligt terwijl de servo een plaatje ervoor langs beweegt, of een handwarmer op de servoarm; afstand en snelheid testen.</t>
  </si>
  <si>
    <t>(ontbrak) Breadboard, jumpers, headers</t>
  </si>
  <si>
    <t>Zonder deze onderdelen kan niets worden aangesloten.</t>
  </si>
  <si>
    <t>Toegevoegd (R06, R18, R19, R20). Jumpers, Dupont en header pins zijn al in bezit.</t>
  </si>
  <si>
    <t>Condensator 470 uF / 10 V</t>
  </si>
  <si>
    <t>10 V laat weinig marge op een 5 V-rail.</t>
  </si>
  <si>
    <t>Vervangen door 1000 uF / 35 V (R15). Let op polariteit.</t>
  </si>
  <si>
    <t>5 V USB-voedingsadapter + micro-USB datakabel</t>
  </si>
  <si>
    <t>De voedingsadapter heeft meestal een vaste kabel (alleen voeding).</t>
  </si>
  <si>
    <t>Gsm-lader (R16) + aparte datakabel (R17), beide al op school.</t>
  </si>
  <si>
    <t>E27-lampsnoer</t>
  </si>
  <si>
    <t>Moet kant-en-klaar zijn (netspanning).</t>
  </si>
  <si>
    <t>R05: bol.com-snoer van 3,5 m met schakelaar en stekker, niet zelf wiren.</t>
  </si>
  <si>
    <t>ESP32 op school</t>
  </si>
  <si>
    <t>De ESP32 moet niet aangekocht worden.</t>
  </si>
  <si>
    <t>R11 staat als hergebruik; de link verwijst naar Otronic (variant met losse pinnen, € 11,55) als referentie en voor de waarde.</t>
  </si>
  <si>
    <t>GY-302 (BH1750)</t>
  </si>
  <si>
    <t>Niet leverbaar bij AZ-Delivery op 2026-10-26.</t>
  </si>
  <si>
    <t>Vervangen door de Adafruit BH1750 bij Kiwi (R02): zelfde chip, op voorraad en samen met de AS7341 besteld (één verzending). De GY-302 staat bij de alternatieven.</t>
  </si>
  <si>
    <t>Meetopstelling</t>
  </si>
  <si>
    <t>AS7341 kan verzadigen op een lamp van 1100 lm op korte afstand.</t>
  </si>
  <si>
    <t>Geen extra onderdeel: werk met afstand, diffusor (karton) en integratietijd.</t>
  </si>
  <si>
    <t>Meetopstelling (doos)</t>
  </si>
  <si>
    <t>De testmodule komt in een grote kartonnen doos of vergelijkbaar; het donker is nodig voor de lichtmeting.</t>
  </si>
  <si>
    <t>R22: doos hergebruiken en zwart maken. Zorg voor ventilatie (lamp en warmtematje geven warmte af) en test of de Zigbee-verbinding in de doos stabiel blijft.</t>
  </si>
  <si>
    <t>Kleine hardwaredelen</t>
  </si>
  <si>
    <t>Houders voor sensoren, display en servo moeten stevig en herhaalbaar zijn.</t>
  </si>
  <si>
    <t>Custom 3D-print (R23) met de printer van school of de groep; geen aankoop.</t>
  </si>
  <si>
    <t>Aannames en bronnen</t>
  </si>
  <si>
    <t>Parameter</t>
  </si>
  <si>
    <t>Waarde</t>
  </si>
  <si>
    <t>Toelichting</t>
  </si>
  <si>
    <t>BTW-tarief</t>
  </si>
  <si>
    <t>Belgisch tarief 21%. Prijzen zijn consumentenprijzen incl. btw; excl. btw = prijs / (1 + tarief). Kiwi Electronics toont prijzen excl. btw: die zijn hier omgerekend met dit tarief.</t>
  </si>
  <si>
    <t>Controledatum prijzen en voorraad</t>
  </si>
  <si>
    <t>2026-10-26</t>
  </si>
  <si>
    <t>Prijzen en voorraad nagekeken in webwinkels op deze datum. Philips Hue verhoogde in 2026 meermaals de prijzen: controleer vóór bestelling opnieuw.</t>
  </si>
  <si>
    <t>Valuta</t>
  </si>
  <si>
    <t>EUR</t>
  </si>
  <si>
    <t>Alle bedragen in euro.</t>
  </si>
  <si>
    <t>Opmerkingen</t>
  </si>
  <si>
    <t>Prijsstatus 'Geverifieerd' = prijs gezien op de productpagina of in de zoekresultaten van de shop op de controledatum. 'Schatting' (oranje) = prijs niet bevestigd; controleer in de winkelwagen.</t>
  </si>
  <si>
    <t>Verzendkosten per leverancier (tabblad Leveranciers), door de groep gecontroleerd in de winkelwagen op 2026-10-26: Kiwi € 6,64 voor alle Kiwi-artikelen samen, Bits &amp; Parts € 5,95, Tinytronics € 8,82 (€ 7,29 excl. btw). Bij bol.com zijn er geen aparte verzendkosten. Philips Hue (gratis vanaf € 50) en Coolblue (gratis) zijn alleen relevant als het Hue-materiaal toch gekocht moet worden.</t>
  </si>
  <si>
    <t>Beschikbaarheid: de GY-302 bij AZ-Delivery was op 2026-10-26 niet leverbaar; daarom is de Adafruit BH1750 bij Kiwi (30+ stuks op voorraad) de hoofdkeuze geworden.</t>
  </si>
  <si>
    <t>Hergebruik: ESP32, weerstand, condensatoren, voedingsadapter (gsm-lader), USB-kabel, drukknop, jumperdraden, Dupont-kabels, header pins, tape/lijm, kartonnen doos, warmtematje en de 3D-printer met filament zijn al beschikbaar (deel B van de BOM, kolom G = aantal nodig, dus niets te kopen). De Hue Bridge, Motion Sensor en lamp krijgen we naar verwachting van school (deel B). Is dat niet bevestigd, dan kopen we ze alsnog: zet kolom G op 0; de meerprijs staat onder de totalen (verzending blijft € 0: Philips Hue en Coolblue leveren gratis boven hun drempel).</t>
  </si>
  <si>
    <t>Reserve: er wordt bewust geen reserve besteld. Kolom H (Reserve) staat overal op 0 en kan later aangepast worden; het aantal te kopen en het totaal passen zich automatisch aan.</t>
  </si>
  <si>
    <t>De Hue Motion Sensor wordt volgens de fabrikant met 2 AAA-batterijen geleverd, de Hue Bridge met voeding en ethernetkabel. Controleer dit bij ontvangst.</t>
  </si>
  <si>
    <t>Veiligheid: koop de E27-fitting met snoer en stekker kant-en-klaar. Zelf aan 230 V wiren niet doen zonder begeleiding.</t>
  </si>
  <si>
    <t>Scenario zonder bewegingssensor: krijgen we de Hue Motion Sensor niet van school, dan laten we de bewegingstest achterwege en vervallen de servo (€ 4,25), het warmtematje en de bijbehorende 3D-geprinte houders. De kleur- en luxtest van de lamp blijft.</t>
  </si>
  <si>
    <t>Opstelling: de testmodule staat in een grote kartonnen doos (donkere meetruimte). Controleer of de PIR-sensor in de doos nog goed triggert en of de Zigbee-verbinding stabiel blijft.</t>
  </si>
  <si>
    <t>Kleine hardwaredelen worden custom 3D-geprint met de printer en het filament van school of de groep; er is geen aankoop. De bedragen van doos, tape, warmtematje en print in deel B zijn schattingen van de vervangwaarde (oranje).</t>
  </si>
  <si>
    <t>De alternatieven voor de licht- en kleursensor staan onderaan het tabblad BOM en tellen niet mee in het totaal.</t>
  </si>
  <si>
    <t>Legenda: blauwe tekst = ingevoerde waarde, gele cel = zelf aan te passen, oranje cel = geschatte prijs, zwarte tekst = formule.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</si>
</sst>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0.00;[Red]&quot;-€ &quot;#,##0.00;\-"/>
  </numFmts>
  <fonts count="9" x14ac:knownFonts="1">
    <font>
      <sz val="11"/>
      <color theme="1"/>
      <name val="Calibri"/>
      <family val="2"/>
      <charset val="1"/>
    </font>
    <font>
      <b/>
      <sz val="14"/>
      <color rgb="FF1F3864"/>
      <name val="Arial"/>
      <charset val="1"/>
    </font>
    <font>
      <i/>
      <sz val="9"/>
      <color rgb="FF595959"/>
      <name val="Arial"/>
      <charset val="1"/>
    </font>
    <font>
      <b/>
      <sz val="10"/>
      <color rgb="FFFFFFFF"/>
      <name val="Arial"/>
      <charset val="1"/>
    </font>
    <font>
      <b/>
      <sz val="11"/>
      <color rgb="FF1F3864"/>
      <name val="Arial"/>
      <charset val="1"/>
    </font>
    <font>
      <sz val="10"/>
      <name val="Arial"/>
      <charset val="1"/>
    </font>
    <font>
      <b/>
      <sz val="10"/>
      <name val="Arial"/>
      <charset val="1"/>
    </font>
    <font>
      <u/>
      <sz val="10"/>
      <color rgb="FF0563C1"/>
      <name val="Arial"/>
      <charset val="1"/>
    </font>
    <font>
      <sz val="10"/>
      <color rgb="FF0000FF"/>
      <name val="Arial"/>
      <charset val="1"/>
    </font>
  </fonts>
  <fills count="9">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FFFF00"/>
        <bgColor rgb="FFFFFF00"/>
      </patternFill>
    </fill>
    <fill>
      <patternFill patternType="solid">
        <fgColor rgb="FFFCE4D6"/>
        <bgColor rgb="FFFFF2CC"/>
      </patternFill>
    </fill>
    <fill>
      <patternFill patternType="solid">
        <fgColor rgb="FFE2EFDA"/>
        <bgColor rgb="FFF2F2F2"/>
      </patternFill>
    </fill>
    <fill>
      <patternFill patternType="solid">
        <fgColor rgb="FFF2F2F2"/>
        <bgColor rgb="FFE2EFDA"/>
      </patternFill>
    </fill>
    <fill>
      <patternFill patternType="solid">
        <fgColor rgb="FFFFF2CC"/>
        <b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5" fillId="0" borderId="0" xfId="0" applyFont="1" applyAlignment="1">
      <alignment vertical="top" wrapText="1"/>
    </xf>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3" borderId="0" xfId="0" applyFont="1" applyFill="1"/>
    <xf numFmtId="0" fontId="0" fillId="3" borderId="0" xfId="0" applyFill="1"/>
    <xf numFmtId="0" fontId="5"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8" fillId="4" borderId="1" xfId="0" applyFont="1" applyFill="1" applyBorder="1" applyAlignment="1">
      <alignment vertical="top" wrapText="1"/>
    </xf>
    <xf numFmtId="164" fontId="5" fillId="0" borderId="1" xfId="0" applyNumberFormat="1" applyFont="1" applyBorder="1" applyAlignment="1">
      <alignment vertical="top" wrapText="1"/>
    </xf>
    <xf numFmtId="164" fontId="8" fillId="0" borderId="1" xfId="0" applyNumberFormat="1" applyFont="1" applyBorder="1" applyAlignment="1">
      <alignment vertical="top" wrapText="1"/>
    </xf>
    <xf numFmtId="164" fontId="8" fillId="5" borderId="1" xfId="0" applyNumberFormat="1" applyFont="1" applyFill="1" applyBorder="1" applyAlignment="1">
      <alignment vertical="top" wrapText="1"/>
    </xf>
    <xf numFmtId="0" fontId="5" fillId="5" borderId="1" xfId="0" applyFont="1" applyFill="1" applyBorder="1" applyAlignment="1">
      <alignment vertical="top" wrapText="1"/>
    </xf>
    <xf numFmtId="0" fontId="5" fillId="0" borderId="1" xfId="0" applyFont="1" applyBorder="1"/>
    <xf numFmtId="164" fontId="5" fillId="0" borderId="1" xfId="0" applyNumberFormat="1" applyFont="1" applyBorder="1"/>
    <xf numFmtId="0" fontId="6" fillId="6" borderId="1" xfId="0" applyFont="1" applyFill="1" applyBorder="1"/>
    <xf numFmtId="164" fontId="6" fillId="6" borderId="1" xfId="0" applyNumberFormat="1" applyFont="1" applyFill="1" applyBorder="1"/>
    <xf numFmtId="0" fontId="5" fillId="0" borderId="0" xfId="0" applyFont="1"/>
    <xf numFmtId="0" fontId="6" fillId="0" borderId="0" xfId="0" applyFont="1"/>
    <xf numFmtId="0" fontId="5" fillId="7" borderId="1" xfId="0" applyFont="1" applyFill="1" applyBorder="1" applyAlignment="1">
      <alignment vertical="top" wrapText="1"/>
    </xf>
    <xf numFmtId="0" fontId="6" fillId="7" borderId="1" xfId="0" applyFont="1" applyFill="1" applyBorder="1" applyAlignment="1">
      <alignment vertical="top" wrapText="1"/>
    </xf>
    <xf numFmtId="0" fontId="7" fillId="7" borderId="1" xfId="0" applyFont="1" applyFill="1" applyBorder="1" applyAlignment="1">
      <alignment vertical="top" wrapText="1"/>
    </xf>
    <xf numFmtId="0" fontId="0" fillId="7" borderId="1" xfId="0" applyFill="1" applyBorder="1" applyAlignment="1">
      <alignment vertical="top" wrapText="1"/>
    </xf>
    <xf numFmtId="164" fontId="5" fillId="7" borderId="1" xfId="0" applyNumberFormat="1" applyFont="1" applyFill="1" applyBorder="1" applyAlignment="1">
      <alignment vertical="top" wrapText="1"/>
    </xf>
    <xf numFmtId="164" fontId="8" fillId="4" borderId="1" xfId="0" applyNumberFormat="1" applyFont="1" applyFill="1" applyBorder="1" applyAlignment="1">
      <alignment vertical="top" wrapText="1"/>
    </xf>
    <xf numFmtId="0" fontId="0" fillId="6" borderId="1" xfId="0" applyFill="1" applyBorder="1"/>
    <xf numFmtId="0" fontId="5" fillId="6" borderId="1" xfId="0" applyFont="1" applyFill="1" applyBorder="1" applyAlignment="1">
      <alignment vertical="top" wrapText="1"/>
    </xf>
    <xf numFmtId="0" fontId="5" fillId="8" borderId="1" xfId="0" applyFont="1" applyFill="1" applyBorder="1" applyAlignment="1">
      <alignment vertical="top" wrapText="1"/>
    </xf>
    <xf numFmtId="9" fontId="8" fillId="4" borderId="1" xfId="0" applyNumberFormat="1" applyFont="1" applyFill="1" applyBorder="1" applyAlignment="1">
      <alignment vertical="top" wrapText="1"/>
    </xf>
  </cellXfs>
  <cellStyles count="1">
    <cellStyle name="Standa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philips-hue.com/nl-be/p/hue-bridge/8719514342620" TargetMode="External"/><Relationship Id="rId13" Type="http://schemas.openxmlformats.org/officeDocument/2006/relationships/hyperlink" Target="https://www.bitsandparts.nl/en/resistor-330-ohm-1-4w-5pct-p101277" TargetMode="External"/><Relationship Id="rId18" Type="http://schemas.openxmlformats.org/officeDocument/2006/relationships/hyperlink" Target="https://www.bitsandparts.nl/en/breadboard-jumper-cables-male-male-65pcs-p121049" TargetMode="External"/><Relationship Id="rId3" Type="http://schemas.openxmlformats.org/officeDocument/2006/relationships/hyperlink" Target="https://www.tinytronics.nl/nl/displays/tft/1.3-inch-ips-tft-display-240*240-pixels-spi-st7789v3" TargetMode="External"/><Relationship Id="rId21" Type="http://schemas.openxmlformats.org/officeDocument/2006/relationships/hyperlink" Target="https://www.tinytronics.nl/nl/sensoren/optisch/licht-en-kleur/tcs34725-kleurherkenning-sensor-module" TargetMode="External"/><Relationship Id="rId7" Type="http://schemas.openxmlformats.org/officeDocument/2006/relationships/hyperlink" Target="https://www.bitsandparts.nl/en/servo-motor-digital-micro-servo-9g-sg90-270&#176;-p1931586" TargetMode="External"/><Relationship Id="rId12" Type="http://schemas.openxmlformats.org/officeDocument/2006/relationships/hyperlink" Target="https://www.bitsandparts.nl/en/microswitch-push-button-(make-contact)-6x6x5mm-breadboard-friendly-p1911251" TargetMode="External"/><Relationship Id="rId17" Type="http://schemas.openxmlformats.org/officeDocument/2006/relationships/hyperlink" Target="https://www.kiwi-electronics.com/nl/microusb-kabel-usb-a-naar-micro-b-1-meter-76" TargetMode="External"/><Relationship Id="rId2" Type="http://schemas.openxmlformats.org/officeDocument/2006/relationships/hyperlink" Target="https://www.kiwi-electronics.com/nl/licht-kleurensensors-385/adafruit-bh1750-light-sensor-stemma-qt-qwiic-10401" TargetMode="External"/><Relationship Id="rId16" Type="http://schemas.openxmlformats.org/officeDocument/2006/relationships/hyperlink" Target="https://www.tinytronics.nl/nl/power/voedingen/5v/sunshine-micro-usb-voedingsadapter-5v-2a" TargetMode="External"/><Relationship Id="rId20" Type="http://schemas.openxmlformats.org/officeDocument/2006/relationships/hyperlink" Target="https://www.bitsandparts.nl/headerpins-male-40-pins-metaal-recht-zwart-p101262" TargetMode="External"/><Relationship Id="rId1" Type="http://schemas.openxmlformats.org/officeDocument/2006/relationships/hyperlink" Target="https://www.kiwi-electronics.com/nl/licht-kleurensensors-385/adafruit-as7341-10-channel-light-color-sensor-breakout-stemma-qt-qwiic-10432" TargetMode="External"/><Relationship Id="rId6" Type="http://schemas.openxmlformats.org/officeDocument/2006/relationships/hyperlink" Target="https://www.bitsandparts.nl/en/breadboard-830-pins-mb102-universal-experimenting-board-white-p121069" TargetMode="External"/><Relationship Id="rId11" Type="http://schemas.openxmlformats.org/officeDocument/2006/relationships/hyperlink" Target="https://www.otronic.nl/en/esp32-wroom-4mb-devkit-v1-with-loose-header-pins" TargetMode="External"/><Relationship Id="rId24" Type="http://schemas.openxmlformats.org/officeDocument/2006/relationships/hyperlink" Target="https://www.az-delivery.de/en/products/gy-302-bh1750-lichtsensor-lichtstaerke-modul-fuer-arduino-und-raspberry-pi" TargetMode="External"/><Relationship Id="rId5" Type="http://schemas.openxmlformats.org/officeDocument/2006/relationships/hyperlink" Target="https://www.bol.com/be/nl/p/e27-fitting-met-snoer-en-schakelaar-zwart-3-5-meter-lampensnoer-lamphouder-met-stekker/9300000266315831/?cid=1793011605224-4370564661380" TargetMode="External"/><Relationship Id="rId15" Type="http://schemas.openxmlformats.org/officeDocument/2006/relationships/hyperlink" Target="https://www.bitsandparts.nl/en/capacitor-1000&#181;f-35v-p104739" TargetMode="External"/><Relationship Id="rId23" Type="http://schemas.openxmlformats.org/officeDocument/2006/relationships/hyperlink" Target="https://www.kiwi-electronics.com/nl/licht-kleurensensors-385/adafruit-tsl2591-high-dynamic-range-digital-light-sensor-stemma-qt-1636" TargetMode="External"/><Relationship Id="rId10" Type="http://schemas.openxmlformats.org/officeDocument/2006/relationships/hyperlink" Target="https://www.coolblue.be/en/product/968152/philips-hue-a60-white-and-color-e27-1100lm.html" TargetMode="External"/><Relationship Id="rId19" Type="http://schemas.openxmlformats.org/officeDocument/2006/relationships/hyperlink" Target="https://www.bitsandparts.nl/en/breadboard-jumper-cables-dupont-20cm-female-male-40pcs-p1905690" TargetMode="External"/><Relationship Id="rId4" Type="http://schemas.openxmlformats.org/officeDocument/2006/relationships/hyperlink" Target="https://www.bitsandparts.nl/en/led-5mm-red-p101396" TargetMode="External"/><Relationship Id="rId9" Type="http://schemas.openxmlformats.org/officeDocument/2006/relationships/hyperlink" Target="https://www.philips-hue.com/nl-be/p/hue-hue-motion-sensor/8719514342125" TargetMode="External"/><Relationship Id="rId14" Type="http://schemas.openxmlformats.org/officeDocument/2006/relationships/hyperlink" Target="https://www.bitsandparts.nl/en/capacitor-0-1uf-100nf-100000pf-100v-p1884952" TargetMode="External"/><Relationship Id="rId22" Type="http://schemas.openxmlformats.org/officeDocument/2006/relationships/hyperlink" Target="https://www.kiwi-electronics.com/nl/licht-kleurensensors-385/adafruit-as7343-14-kanaals-licht-en-kleursensor-breakout-stemma-qt-qwiic-20618"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praxis.nl/elektra/onderdelen-voor-lampen/lampsnoeren/kopp-euro-aansluitsnoer-met-schakelaar-en-lamphouder-e27-wit/5624533" TargetMode="External"/><Relationship Id="rId3" Type="http://schemas.openxmlformats.org/officeDocument/2006/relationships/hyperlink" Target="https://www.coolblue.nl/en/smart-lights/philips-hue/e27-fitting" TargetMode="External"/><Relationship Id="rId7" Type="http://schemas.openxmlformats.org/officeDocument/2006/relationships/hyperlink" Target="https://www.hubo.be/nl/p/philips-hue-white-and-color-ambiance-led-lamp-e27-10-5w-dimbaar/967689/" TargetMode="External"/><Relationship Id="rId2" Type="http://schemas.openxmlformats.org/officeDocument/2006/relationships/hyperlink" Target="https://hueblog.com/2026/06/03/hue-bridge-pro-is-a-whopping-40-percent-more-expensive-in-the-u-s/" TargetMode="External"/><Relationship Id="rId1" Type="http://schemas.openxmlformats.org/officeDocument/2006/relationships/hyperlink" Target="https://www.gamma.be/nl/assortiment/philips-hue-bridge/p/B562992" TargetMode="External"/><Relationship Id="rId6" Type="http://schemas.openxmlformats.org/officeDocument/2006/relationships/hyperlink" Target="https://www.hornbach.nl/c/smart-home/slimme-verlichting/slimme-lichtbronnen/S24707/f/Merk=Philips%20Hue" TargetMode="External"/><Relationship Id="rId11" Type="http://schemas.openxmlformats.org/officeDocument/2006/relationships/hyperlink" Target="https://thepihut.com/products/adafruit-as7341-10-channel-light-color-sensor-breakout" TargetMode="External"/><Relationship Id="rId5" Type="http://schemas.openxmlformats.org/officeDocument/2006/relationships/hyperlink" Target="https://www.gamma.nl/assortiment/philips-hue-bewegingssensor/p/B562994" TargetMode="External"/><Relationship Id="rId10" Type="http://schemas.openxmlformats.org/officeDocument/2006/relationships/hyperlink" Target="https://shop.pimoroni.com/products/adafruit-as7341-10-channel-light-color-sensor-breakout-stemma-qt-qwiic" TargetMode="External"/><Relationship Id="rId4" Type="http://schemas.openxmlformats.org/officeDocument/2006/relationships/hyperlink" Target="https://www.bcc.nl/product/philips-hue-bewegingssensor" TargetMode="External"/><Relationship Id="rId9" Type="http://schemas.openxmlformats.org/officeDocument/2006/relationships/hyperlink" Target="https://adafruit.com/product/46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abSelected="1" zoomScaleNormal="100" workbookViewId="0">
      <pane xSplit="2" ySplit="5" topLeftCell="C28" activePane="bottomRight" state="frozen"/>
      <selection pane="topRight" activeCell="C1" sqref="C1"/>
      <selection pane="bottomLeft" activeCell="A6" sqref="A6"/>
      <selection pane="bottomRight" activeCell="P18" sqref="P18"/>
    </sheetView>
  </sheetViews>
  <sheetFormatPr defaultColWidth="8.7109375" defaultRowHeight="15" x14ac:dyDescent="0.25"/>
  <cols>
    <col min="1" max="1" width="7" customWidth="1"/>
    <col min="2" max="2" width="34" customWidth="1"/>
    <col min="3" max="3" width="44" customWidth="1"/>
    <col min="4" max="4" width="56" customWidth="1"/>
    <col min="5" max="5" width="12" customWidth="1"/>
    <col min="6" max="6" width="8" customWidth="1"/>
    <col min="7" max="7" width="12" customWidth="1"/>
    <col min="8" max="9" width="9" customWidth="1"/>
    <col min="10" max="10" width="44" customWidth="1"/>
    <col min="11" max="11" width="14" customWidth="1"/>
    <col min="12" max="12" width="24" customWidth="1"/>
    <col min="13" max="13" width="40" customWidth="1"/>
    <col min="14" max="14" width="18" customWidth="1"/>
    <col min="15" max="15" width="12" customWidth="1"/>
    <col min="16" max="16" width="52" customWidth="1"/>
  </cols>
  <sheetData>
    <row r="1" spans="1:16" ht="18" x14ac:dyDescent="0.25">
      <c r="A1" s="2" t="s">
        <v>0</v>
      </c>
    </row>
    <row r="2" spans="1:16" x14ac:dyDescent="0.25">
      <c r="A2" s="3" t="s">
        <v>1</v>
      </c>
    </row>
    <row r="4" spans="1:16" ht="42" customHeight="1" x14ac:dyDescent="0.25">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row>
    <row r="5" spans="1:16" x14ac:dyDescent="0.25">
      <c r="A5" s="5" t="s">
        <v>18</v>
      </c>
      <c r="B5" s="6"/>
      <c r="C5" s="6"/>
      <c r="D5" s="6"/>
      <c r="E5" s="6"/>
      <c r="F5" s="6"/>
      <c r="G5" s="6"/>
      <c r="H5" s="6"/>
      <c r="I5" s="6"/>
      <c r="J5" s="6"/>
      <c r="K5" s="6"/>
      <c r="L5" s="6"/>
      <c r="M5" s="6"/>
      <c r="N5" s="6"/>
      <c r="O5" s="6"/>
      <c r="P5" s="6"/>
    </row>
    <row r="6" spans="1:16" ht="99.75" customHeight="1" x14ac:dyDescent="0.25">
      <c r="A6" s="7" t="s">
        <v>19</v>
      </c>
      <c r="B6" s="8" t="s">
        <v>20</v>
      </c>
      <c r="C6" s="7" t="s">
        <v>21</v>
      </c>
      <c r="D6" s="7" t="s">
        <v>22</v>
      </c>
      <c r="E6" s="9" t="s">
        <v>23</v>
      </c>
      <c r="F6" s="10">
        <v>1</v>
      </c>
      <c r="G6" s="11">
        <v>0</v>
      </c>
      <c r="H6" s="11">
        <v>0</v>
      </c>
      <c r="I6" s="7">
        <f t="shared" ref="I6:I12" si="0">IF(F6&gt;G6,F6-G6+H6,0)</f>
        <v>1</v>
      </c>
      <c r="J6" s="12">
        <f>ROUND(15.29*(1+Aannames!$B$4),2)</f>
        <v>18.5</v>
      </c>
      <c r="K6" s="12">
        <f t="shared" ref="K6:K12" si="1">I6*J6</f>
        <v>18.5</v>
      </c>
      <c r="L6" s="7" t="s">
        <v>24</v>
      </c>
      <c r="M6" s="7" t="s">
        <v>25</v>
      </c>
      <c r="N6" s="7" t="s">
        <v>26</v>
      </c>
      <c r="O6" s="7" t="s">
        <v>27</v>
      </c>
      <c r="P6" s="7"/>
    </row>
    <row r="7" spans="1:16" ht="99.75" customHeight="1" x14ac:dyDescent="0.25">
      <c r="A7" s="7" t="s">
        <v>28</v>
      </c>
      <c r="B7" s="8" t="s">
        <v>29</v>
      </c>
      <c r="C7" s="7" t="s">
        <v>30</v>
      </c>
      <c r="D7" s="7" t="s">
        <v>31</v>
      </c>
      <c r="E7" s="9" t="s">
        <v>23</v>
      </c>
      <c r="F7" s="10">
        <v>1</v>
      </c>
      <c r="G7" s="11">
        <v>0</v>
      </c>
      <c r="H7" s="11">
        <v>0</v>
      </c>
      <c r="I7" s="7">
        <f t="shared" si="0"/>
        <v>1</v>
      </c>
      <c r="J7" s="12">
        <f>ROUND(4.09*(1+Aannames!$B$4),2)</f>
        <v>4.95</v>
      </c>
      <c r="K7" s="12">
        <f t="shared" si="1"/>
        <v>4.95</v>
      </c>
      <c r="L7" s="7" t="s">
        <v>24</v>
      </c>
      <c r="M7" s="7" t="s">
        <v>32</v>
      </c>
      <c r="N7" s="7" t="s">
        <v>33</v>
      </c>
      <c r="O7" s="7" t="s">
        <v>27</v>
      </c>
      <c r="P7" s="7" t="s">
        <v>34</v>
      </c>
    </row>
    <row r="8" spans="1:16" ht="99.75" customHeight="1" x14ac:dyDescent="0.25">
      <c r="A8" s="7" t="s">
        <v>35</v>
      </c>
      <c r="B8" s="8" t="s">
        <v>36</v>
      </c>
      <c r="C8" s="7" t="s">
        <v>37</v>
      </c>
      <c r="D8" s="7" t="s">
        <v>38</v>
      </c>
      <c r="E8" s="9" t="s">
        <v>23</v>
      </c>
      <c r="F8" s="10">
        <v>1</v>
      </c>
      <c r="G8" s="11">
        <v>0</v>
      </c>
      <c r="H8" s="11">
        <v>0</v>
      </c>
      <c r="I8" s="7">
        <f t="shared" si="0"/>
        <v>1</v>
      </c>
      <c r="J8" s="13">
        <v>6.5</v>
      </c>
      <c r="K8" s="12">
        <f t="shared" si="1"/>
        <v>6.5</v>
      </c>
      <c r="L8" s="7" t="s">
        <v>39</v>
      </c>
      <c r="M8" s="7" t="s">
        <v>40</v>
      </c>
      <c r="N8" s="7" t="s">
        <v>26</v>
      </c>
      <c r="O8" s="7" t="s">
        <v>27</v>
      </c>
      <c r="P8" s="7"/>
    </row>
    <row r="9" spans="1:16" ht="99.75" customHeight="1" x14ac:dyDescent="0.25">
      <c r="A9" s="7" t="s">
        <v>41</v>
      </c>
      <c r="B9" s="8" t="s">
        <v>42</v>
      </c>
      <c r="C9" s="7" t="s">
        <v>43</v>
      </c>
      <c r="D9" s="7" t="s">
        <v>44</v>
      </c>
      <c r="E9" s="9" t="s">
        <v>23</v>
      </c>
      <c r="F9" s="10">
        <v>1</v>
      </c>
      <c r="G9" s="11">
        <v>0</v>
      </c>
      <c r="H9" s="11">
        <v>0</v>
      </c>
      <c r="I9" s="7">
        <f t="shared" si="0"/>
        <v>1</v>
      </c>
      <c r="J9" s="13">
        <v>0.17</v>
      </c>
      <c r="K9" s="12">
        <f t="shared" si="1"/>
        <v>0.17</v>
      </c>
      <c r="L9" s="7" t="s">
        <v>45</v>
      </c>
      <c r="M9" s="7" t="s">
        <v>46</v>
      </c>
      <c r="N9" s="7" t="s">
        <v>26</v>
      </c>
      <c r="O9" s="7" t="s">
        <v>27</v>
      </c>
      <c r="P9" s="7"/>
    </row>
    <row r="10" spans="1:16" ht="99.75" customHeight="1" x14ac:dyDescent="0.25">
      <c r="A10" s="7" t="s">
        <v>47</v>
      </c>
      <c r="B10" s="8" t="s">
        <v>48</v>
      </c>
      <c r="C10" s="7" t="s">
        <v>49</v>
      </c>
      <c r="D10" s="7" t="s">
        <v>50</v>
      </c>
      <c r="E10" s="9" t="s">
        <v>23</v>
      </c>
      <c r="F10" s="10">
        <v>1</v>
      </c>
      <c r="G10" s="11">
        <v>0</v>
      </c>
      <c r="H10" s="11">
        <v>0</v>
      </c>
      <c r="I10" s="7">
        <f t="shared" si="0"/>
        <v>1</v>
      </c>
      <c r="J10" s="13">
        <v>19.989999999999998</v>
      </c>
      <c r="K10" s="12">
        <f t="shared" si="1"/>
        <v>19.989999999999998</v>
      </c>
      <c r="L10" s="7" t="s">
        <v>51</v>
      </c>
      <c r="M10" s="7" t="s">
        <v>52</v>
      </c>
      <c r="N10" s="7" t="s">
        <v>53</v>
      </c>
      <c r="O10" s="7" t="s">
        <v>27</v>
      </c>
      <c r="P10" s="7"/>
    </row>
    <row r="11" spans="1:16" ht="99.75" customHeight="1" x14ac:dyDescent="0.25">
      <c r="A11" s="7" t="s">
        <v>54</v>
      </c>
      <c r="B11" s="8" t="s">
        <v>55</v>
      </c>
      <c r="C11" s="7" t="s">
        <v>56</v>
      </c>
      <c r="D11" s="7" t="s">
        <v>57</v>
      </c>
      <c r="E11" s="9" t="s">
        <v>23</v>
      </c>
      <c r="F11" s="10">
        <v>1</v>
      </c>
      <c r="G11" s="11">
        <v>0</v>
      </c>
      <c r="H11" s="11">
        <v>0</v>
      </c>
      <c r="I11" s="7">
        <f t="shared" si="0"/>
        <v>1</v>
      </c>
      <c r="J11" s="13">
        <v>3.95</v>
      </c>
      <c r="K11" s="12">
        <f t="shared" si="1"/>
        <v>3.95</v>
      </c>
      <c r="L11" s="7" t="s">
        <v>45</v>
      </c>
      <c r="M11" s="7" t="s">
        <v>58</v>
      </c>
      <c r="N11" s="7" t="s">
        <v>59</v>
      </c>
      <c r="O11" s="7" t="s">
        <v>27</v>
      </c>
      <c r="P11" s="7"/>
    </row>
    <row r="12" spans="1:16" ht="99.75" customHeight="1" x14ac:dyDescent="0.25">
      <c r="A12" s="7" t="s">
        <v>60</v>
      </c>
      <c r="B12" s="8" t="s">
        <v>61</v>
      </c>
      <c r="C12" s="7" t="s">
        <v>62</v>
      </c>
      <c r="D12" s="7" t="s">
        <v>63</v>
      </c>
      <c r="E12" s="9" t="s">
        <v>23</v>
      </c>
      <c r="F12" s="10">
        <v>1</v>
      </c>
      <c r="G12" s="11">
        <v>0</v>
      </c>
      <c r="H12" s="11">
        <v>0</v>
      </c>
      <c r="I12" s="7">
        <f t="shared" si="0"/>
        <v>1</v>
      </c>
      <c r="J12" s="13">
        <v>4.25</v>
      </c>
      <c r="K12" s="12">
        <f t="shared" si="1"/>
        <v>4.25</v>
      </c>
      <c r="L12" s="7" t="s">
        <v>45</v>
      </c>
      <c r="M12" s="7" t="s">
        <v>64</v>
      </c>
      <c r="N12" s="7" t="s">
        <v>65</v>
      </c>
      <c r="O12" s="7" t="s">
        <v>27</v>
      </c>
      <c r="P12" s="7" t="s">
        <v>66</v>
      </c>
    </row>
    <row r="13" spans="1:16" x14ac:dyDescent="0.25">
      <c r="A13" s="5" t="s">
        <v>67</v>
      </c>
      <c r="B13" s="6"/>
      <c r="C13" s="6"/>
      <c r="D13" s="6"/>
      <c r="E13" s="6"/>
      <c r="F13" s="6"/>
      <c r="G13" s="6"/>
      <c r="H13" s="6"/>
      <c r="I13" s="6"/>
      <c r="J13" s="6"/>
      <c r="K13" s="6"/>
      <c r="L13" s="6"/>
      <c r="M13" s="6"/>
      <c r="N13" s="6"/>
      <c r="O13" s="6"/>
      <c r="P13" s="6"/>
    </row>
    <row r="14" spans="1:16" ht="99.75" customHeight="1" x14ac:dyDescent="0.25">
      <c r="A14" s="7" t="s">
        <v>68</v>
      </c>
      <c r="B14" s="8" t="s">
        <v>69</v>
      </c>
      <c r="C14" s="7" t="s">
        <v>70</v>
      </c>
      <c r="D14" s="7" t="s">
        <v>71</v>
      </c>
      <c r="E14" s="9" t="s">
        <v>23</v>
      </c>
      <c r="F14" s="10">
        <v>1</v>
      </c>
      <c r="G14" s="11">
        <v>1</v>
      </c>
      <c r="H14" s="11">
        <v>0</v>
      </c>
      <c r="I14" s="7">
        <f t="shared" ref="I14:I30" si="2">IF(F14&gt;G14,F14-G14+H14,0)</f>
        <v>0</v>
      </c>
      <c r="J14" s="13">
        <v>59.99</v>
      </c>
      <c r="K14" s="12">
        <f t="shared" ref="K14:K30" si="3">I14*J14</f>
        <v>0</v>
      </c>
      <c r="L14" s="7" t="s">
        <v>72</v>
      </c>
      <c r="M14" s="7" t="s">
        <v>73</v>
      </c>
      <c r="N14" s="7" t="s">
        <v>59</v>
      </c>
      <c r="O14" s="7" t="s">
        <v>27</v>
      </c>
      <c r="P14" s="7" t="s">
        <v>74</v>
      </c>
    </row>
    <row r="15" spans="1:16" ht="99.75" customHeight="1" x14ac:dyDescent="0.25">
      <c r="A15" s="7" t="s">
        <v>75</v>
      </c>
      <c r="B15" s="8" t="s">
        <v>76</v>
      </c>
      <c r="C15" s="7" t="s">
        <v>77</v>
      </c>
      <c r="D15" s="7" t="s">
        <v>78</v>
      </c>
      <c r="E15" s="9" t="s">
        <v>23</v>
      </c>
      <c r="F15" s="10">
        <v>1</v>
      </c>
      <c r="G15" s="11">
        <v>1</v>
      </c>
      <c r="H15" s="11">
        <v>0</v>
      </c>
      <c r="I15" s="7">
        <f t="shared" si="2"/>
        <v>0</v>
      </c>
      <c r="J15" s="13">
        <v>44.99</v>
      </c>
      <c r="K15" s="12">
        <f t="shared" si="3"/>
        <v>0</v>
      </c>
      <c r="L15" s="7" t="s">
        <v>72</v>
      </c>
      <c r="M15" s="7" t="s">
        <v>79</v>
      </c>
      <c r="N15" s="7" t="s">
        <v>59</v>
      </c>
      <c r="O15" s="7" t="s">
        <v>27</v>
      </c>
      <c r="P15" s="7" t="s">
        <v>80</v>
      </c>
    </row>
    <row r="16" spans="1:16" ht="99.75" customHeight="1" x14ac:dyDescent="0.25">
      <c r="A16" s="7" t="s">
        <v>81</v>
      </c>
      <c r="B16" s="8" t="s">
        <v>82</v>
      </c>
      <c r="C16" s="7" t="s">
        <v>83</v>
      </c>
      <c r="D16" s="7" t="s">
        <v>84</v>
      </c>
      <c r="E16" s="9" t="s">
        <v>23</v>
      </c>
      <c r="F16" s="10">
        <v>1</v>
      </c>
      <c r="G16" s="11">
        <v>1</v>
      </c>
      <c r="H16" s="11">
        <v>0</v>
      </c>
      <c r="I16" s="7">
        <f t="shared" si="2"/>
        <v>0</v>
      </c>
      <c r="J16" s="13">
        <v>54.95</v>
      </c>
      <c r="K16" s="12">
        <f t="shared" si="3"/>
        <v>0</v>
      </c>
      <c r="L16" s="7" t="s">
        <v>85</v>
      </c>
      <c r="M16" s="7" t="s">
        <v>86</v>
      </c>
      <c r="N16" s="7" t="s">
        <v>26</v>
      </c>
      <c r="O16" s="7" t="s">
        <v>27</v>
      </c>
      <c r="P16" s="7" t="s">
        <v>87</v>
      </c>
    </row>
    <row r="17" spans="1:16" ht="99.75" customHeight="1" x14ac:dyDescent="0.25">
      <c r="A17" s="7" t="s">
        <v>88</v>
      </c>
      <c r="B17" s="8" t="s">
        <v>89</v>
      </c>
      <c r="C17" s="7" t="s">
        <v>90</v>
      </c>
      <c r="D17" s="7" t="s">
        <v>91</v>
      </c>
      <c r="E17" s="9" t="s">
        <v>23</v>
      </c>
      <c r="F17" s="10">
        <v>1</v>
      </c>
      <c r="G17" s="11">
        <v>1</v>
      </c>
      <c r="H17" s="11">
        <v>0</v>
      </c>
      <c r="I17" s="7">
        <f t="shared" si="2"/>
        <v>0</v>
      </c>
      <c r="J17" s="13">
        <v>11.55</v>
      </c>
      <c r="K17" s="12">
        <f t="shared" si="3"/>
        <v>0</v>
      </c>
      <c r="L17" s="7" t="s">
        <v>92</v>
      </c>
      <c r="M17" s="7" t="s">
        <v>93</v>
      </c>
      <c r="N17" s="7" t="s">
        <v>26</v>
      </c>
      <c r="O17" s="7" t="s">
        <v>27</v>
      </c>
      <c r="P17" s="7" t="s">
        <v>94</v>
      </c>
    </row>
    <row r="18" spans="1:16" ht="99.75" customHeight="1" x14ac:dyDescent="0.25">
      <c r="A18" s="7" t="s">
        <v>95</v>
      </c>
      <c r="B18" s="8" t="s">
        <v>96</v>
      </c>
      <c r="C18" s="7" t="s">
        <v>97</v>
      </c>
      <c r="D18" s="7" t="s">
        <v>98</v>
      </c>
      <c r="E18" s="9" t="s">
        <v>23</v>
      </c>
      <c r="F18" s="10">
        <v>1</v>
      </c>
      <c r="G18" s="11">
        <v>1</v>
      </c>
      <c r="H18" s="11">
        <v>0</v>
      </c>
      <c r="I18" s="7">
        <f t="shared" si="2"/>
        <v>0</v>
      </c>
      <c r="J18" s="13">
        <v>0.15</v>
      </c>
      <c r="K18" s="12">
        <f t="shared" si="3"/>
        <v>0</v>
      </c>
      <c r="L18" s="7" t="s">
        <v>45</v>
      </c>
      <c r="M18" s="7" t="s">
        <v>46</v>
      </c>
      <c r="N18" s="7" t="s">
        <v>26</v>
      </c>
      <c r="O18" s="7" t="s">
        <v>27</v>
      </c>
      <c r="P18" s="7" t="s">
        <v>99</v>
      </c>
    </row>
    <row r="19" spans="1:16" ht="99.75" customHeight="1" x14ac:dyDescent="0.25">
      <c r="A19" s="7" t="s">
        <v>100</v>
      </c>
      <c r="B19" s="8" t="s">
        <v>101</v>
      </c>
      <c r="C19" s="7" t="s">
        <v>102</v>
      </c>
      <c r="D19" s="7" t="s">
        <v>103</v>
      </c>
      <c r="E19" s="9" t="s">
        <v>23</v>
      </c>
      <c r="F19" s="10">
        <v>1</v>
      </c>
      <c r="G19" s="11">
        <v>1</v>
      </c>
      <c r="H19" s="11">
        <v>0</v>
      </c>
      <c r="I19" s="7">
        <f t="shared" si="2"/>
        <v>0</v>
      </c>
      <c r="J19" s="13">
        <v>0.1</v>
      </c>
      <c r="K19" s="12">
        <f t="shared" si="3"/>
        <v>0</v>
      </c>
      <c r="L19" s="7" t="s">
        <v>45</v>
      </c>
      <c r="M19" s="7" t="s">
        <v>104</v>
      </c>
      <c r="N19" s="7" t="s">
        <v>26</v>
      </c>
      <c r="O19" s="7" t="s">
        <v>27</v>
      </c>
      <c r="P19" s="7" t="s">
        <v>99</v>
      </c>
    </row>
    <row r="20" spans="1:16" ht="99.75" customHeight="1" x14ac:dyDescent="0.25">
      <c r="A20" s="7" t="s">
        <v>105</v>
      </c>
      <c r="B20" s="8" t="s">
        <v>106</v>
      </c>
      <c r="C20" s="7" t="s">
        <v>107</v>
      </c>
      <c r="D20" s="7" t="s">
        <v>108</v>
      </c>
      <c r="E20" s="9" t="s">
        <v>23</v>
      </c>
      <c r="F20" s="10">
        <v>3</v>
      </c>
      <c r="G20" s="11">
        <v>3</v>
      </c>
      <c r="H20" s="11">
        <v>0</v>
      </c>
      <c r="I20" s="7">
        <f t="shared" si="2"/>
        <v>0</v>
      </c>
      <c r="J20" s="13">
        <v>0.2</v>
      </c>
      <c r="K20" s="12">
        <f t="shared" si="3"/>
        <v>0</v>
      </c>
      <c r="L20" s="7" t="s">
        <v>45</v>
      </c>
      <c r="M20" s="7" t="s">
        <v>109</v>
      </c>
      <c r="N20" s="7" t="s">
        <v>26</v>
      </c>
      <c r="O20" s="7" t="s">
        <v>27</v>
      </c>
      <c r="P20" s="7" t="s">
        <v>110</v>
      </c>
    </row>
    <row r="21" spans="1:16" ht="99.75" customHeight="1" x14ac:dyDescent="0.25">
      <c r="A21" s="7" t="s">
        <v>111</v>
      </c>
      <c r="B21" s="8" t="s">
        <v>112</v>
      </c>
      <c r="C21" s="7" t="s">
        <v>113</v>
      </c>
      <c r="D21" s="7" t="s">
        <v>114</v>
      </c>
      <c r="E21" s="9" t="s">
        <v>23</v>
      </c>
      <c r="F21" s="10">
        <v>1</v>
      </c>
      <c r="G21" s="11">
        <v>1</v>
      </c>
      <c r="H21" s="11">
        <v>0</v>
      </c>
      <c r="I21" s="7">
        <f t="shared" si="2"/>
        <v>0</v>
      </c>
      <c r="J21" s="13">
        <v>0.35</v>
      </c>
      <c r="K21" s="12">
        <f t="shared" si="3"/>
        <v>0</v>
      </c>
      <c r="L21" s="7" t="s">
        <v>45</v>
      </c>
      <c r="M21" s="7" t="s">
        <v>109</v>
      </c>
      <c r="N21" s="7" t="s">
        <v>115</v>
      </c>
      <c r="O21" s="7" t="s">
        <v>27</v>
      </c>
      <c r="P21" s="7" t="s">
        <v>116</v>
      </c>
    </row>
    <row r="22" spans="1:16" ht="99.75" customHeight="1" x14ac:dyDescent="0.25">
      <c r="A22" s="7" t="s">
        <v>117</v>
      </c>
      <c r="B22" s="8" t="s">
        <v>118</v>
      </c>
      <c r="C22" s="7" t="s">
        <v>119</v>
      </c>
      <c r="D22" s="7" t="s">
        <v>120</v>
      </c>
      <c r="E22" s="9" t="s">
        <v>23</v>
      </c>
      <c r="F22" s="10">
        <v>1</v>
      </c>
      <c r="G22" s="11">
        <v>1</v>
      </c>
      <c r="H22" s="11">
        <v>0</v>
      </c>
      <c r="I22" s="7">
        <f t="shared" si="2"/>
        <v>0</v>
      </c>
      <c r="J22" s="13">
        <v>6.5</v>
      </c>
      <c r="K22" s="12">
        <f t="shared" si="3"/>
        <v>0</v>
      </c>
      <c r="L22" s="7" t="s">
        <v>39</v>
      </c>
      <c r="M22" s="7" t="s">
        <v>40</v>
      </c>
      <c r="N22" s="7" t="s">
        <v>26</v>
      </c>
      <c r="O22" s="7" t="s">
        <v>27</v>
      </c>
      <c r="P22" s="7" t="s">
        <v>121</v>
      </c>
    </row>
    <row r="23" spans="1:16" ht="99.75" customHeight="1" x14ac:dyDescent="0.25">
      <c r="A23" s="7" t="s">
        <v>122</v>
      </c>
      <c r="B23" s="8" t="s">
        <v>123</v>
      </c>
      <c r="C23" s="7" t="s">
        <v>124</v>
      </c>
      <c r="D23" s="7" t="s">
        <v>125</v>
      </c>
      <c r="E23" s="9" t="s">
        <v>23</v>
      </c>
      <c r="F23" s="10">
        <v>1</v>
      </c>
      <c r="G23" s="11">
        <v>1</v>
      </c>
      <c r="H23" s="11">
        <v>0</v>
      </c>
      <c r="I23" s="7">
        <f t="shared" si="2"/>
        <v>0</v>
      </c>
      <c r="J23" s="12">
        <f>ROUND(1.99*(1+Aannames!$B$4),2)</f>
        <v>2.41</v>
      </c>
      <c r="K23" s="12">
        <f t="shared" si="3"/>
        <v>0</v>
      </c>
      <c r="L23" s="7" t="s">
        <v>24</v>
      </c>
      <c r="M23" s="7" t="s">
        <v>126</v>
      </c>
      <c r="N23" s="7" t="s">
        <v>26</v>
      </c>
      <c r="O23" s="7" t="s">
        <v>27</v>
      </c>
      <c r="P23" s="7" t="s">
        <v>127</v>
      </c>
    </row>
    <row r="24" spans="1:16" ht="99.75" customHeight="1" x14ac:dyDescent="0.25">
      <c r="A24" s="7" t="s">
        <v>128</v>
      </c>
      <c r="B24" s="8" t="s">
        <v>129</v>
      </c>
      <c r="C24" s="7" t="s">
        <v>130</v>
      </c>
      <c r="D24" s="7" t="s">
        <v>131</v>
      </c>
      <c r="E24" s="9" t="s">
        <v>23</v>
      </c>
      <c r="F24" s="10">
        <v>1</v>
      </c>
      <c r="G24" s="11">
        <v>1</v>
      </c>
      <c r="H24" s="11">
        <v>0</v>
      </c>
      <c r="I24" s="7">
        <f t="shared" si="2"/>
        <v>0</v>
      </c>
      <c r="J24" s="13">
        <v>2.95</v>
      </c>
      <c r="K24" s="12">
        <f t="shared" si="3"/>
        <v>0</v>
      </c>
      <c r="L24" s="7" t="s">
        <v>45</v>
      </c>
      <c r="M24" s="7" t="s">
        <v>132</v>
      </c>
      <c r="N24" s="7" t="s">
        <v>59</v>
      </c>
      <c r="O24" s="7" t="s">
        <v>27</v>
      </c>
      <c r="P24" s="7" t="s">
        <v>133</v>
      </c>
    </row>
    <row r="25" spans="1:16" ht="99.75" customHeight="1" x14ac:dyDescent="0.25">
      <c r="A25" s="7" t="s">
        <v>134</v>
      </c>
      <c r="B25" s="8" t="s">
        <v>135</v>
      </c>
      <c r="C25" s="7" t="s">
        <v>136</v>
      </c>
      <c r="D25" s="7" t="s">
        <v>137</v>
      </c>
      <c r="E25" s="9" t="s">
        <v>23</v>
      </c>
      <c r="F25" s="10">
        <v>1</v>
      </c>
      <c r="G25" s="11">
        <v>1</v>
      </c>
      <c r="H25" s="11">
        <v>0</v>
      </c>
      <c r="I25" s="7">
        <f t="shared" si="2"/>
        <v>0</v>
      </c>
      <c r="J25" s="13">
        <v>1.85</v>
      </c>
      <c r="K25" s="12">
        <f t="shared" si="3"/>
        <v>0</v>
      </c>
      <c r="L25" s="7" t="s">
        <v>45</v>
      </c>
      <c r="M25" s="7" t="s">
        <v>109</v>
      </c>
      <c r="N25" s="7" t="s">
        <v>59</v>
      </c>
      <c r="O25" s="7" t="s">
        <v>27</v>
      </c>
      <c r="P25" s="7" t="s">
        <v>138</v>
      </c>
    </row>
    <row r="26" spans="1:16" ht="99.75" customHeight="1" x14ac:dyDescent="0.25">
      <c r="A26" s="7" t="s">
        <v>139</v>
      </c>
      <c r="B26" s="8" t="s">
        <v>140</v>
      </c>
      <c r="C26" s="7" t="s">
        <v>141</v>
      </c>
      <c r="D26" s="7" t="s">
        <v>142</v>
      </c>
      <c r="E26" s="9" t="s">
        <v>23</v>
      </c>
      <c r="F26" s="10">
        <v>1</v>
      </c>
      <c r="G26" s="11">
        <v>1</v>
      </c>
      <c r="H26" s="11">
        <v>0</v>
      </c>
      <c r="I26" s="7">
        <f t="shared" si="2"/>
        <v>0</v>
      </c>
      <c r="J26" s="13">
        <v>0.25</v>
      </c>
      <c r="K26" s="12">
        <f t="shared" si="3"/>
        <v>0</v>
      </c>
      <c r="L26" s="7" t="s">
        <v>45</v>
      </c>
      <c r="M26" s="7" t="s">
        <v>143</v>
      </c>
      <c r="N26" s="7" t="s">
        <v>59</v>
      </c>
      <c r="O26" s="7" t="s">
        <v>27</v>
      </c>
      <c r="P26" s="7" t="s">
        <v>144</v>
      </c>
    </row>
    <row r="27" spans="1:16" ht="99.75" customHeight="1" x14ac:dyDescent="0.25">
      <c r="A27" s="7" t="s">
        <v>145</v>
      </c>
      <c r="B27" s="8" t="s">
        <v>146</v>
      </c>
      <c r="C27" s="7" t="s">
        <v>147</v>
      </c>
      <c r="D27" s="7" t="s">
        <v>148</v>
      </c>
      <c r="E27" s="7" t="s">
        <v>149</v>
      </c>
      <c r="F27" s="10">
        <v>1</v>
      </c>
      <c r="G27" s="11">
        <v>1</v>
      </c>
      <c r="H27" s="11">
        <v>0</v>
      </c>
      <c r="I27" s="7">
        <f t="shared" si="2"/>
        <v>0</v>
      </c>
      <c r="J27" s="14">
        <v>3</v>
      </c>
      <c r="K27" s="12">
        <f t="shared" si="3"/>
        <v>0</v>
      </c>
      <c r="L27" s="7" t="s">
        <v>150</v>
      </c>
      <c r="M27" s="7" t="s">
        <v>138</v>
      </c>
      <c r="N27" s="7" t="s">
        <v>26</v>
      </c>
      <c r="O27" s="15" t="s">
        <v>151</v>
      </c>
      <c r="P27" s="7" t="s">
        <v>152</v>
      </c>
    </row>
    <row r="28" spans="1:16" ht="99.75" customHeight="1" x14ac:dyDescent="0.25">
      <c r="A28" s="7" t="s">
        <v>153</v>
      </c>
      <c r="B28" s="8" t="s">
        <v>154</v>
      </c>
      <c r="C28" s="7" t="s">
        <v>155</v>
      </c>
      <c r="D28" s="7" t="s">
        <v>156</v>
      </c>
      <c r="E28" s="7" t="s">
        <v>149</v>
      </c>
      <c r="F28" s="10">
        <v>1</v>
      </c>
      <c r="G28" s="11">
        <v>1</v>
      </c>
      <c r="H28" s="11">
        <v>0</v>
      </c>
      <c r="I28" s="7">
        <f t="shared" si="2"/>
        <v>0</v>
      </c>
      <c r="J28" s="14">
        <v>4</v>
      </c>
      <c r="K28" s="12">
        <f t="shared" si="3"/>
        <v>0</v>
      </c>
      <c r="L28" s="7" t="s">
        <v>150</v>
      </c>
      <c r="M28" s="7" t="s">
        <v>138</v>
      </c>
      <c r="N28" s="7" t="s">
        <v>26</v>
      </c>
      <c r="O28" s="15" t="s">
        <v>151</v>
      </c>
      <c r="P28" s="7" t="s">
        <v>157</v>
      </c>
    </row>
    <row r="29" spans="1:16" ht="99.75" customHeight="1" x14ac:dyDescent="0.25">
      <c r="A29" s="7" t="s">
        <v>158</v>
      </c>
      <c r="B29" s="8" t="s">
        <v>159</v>
      </c>
      <c r="C29" s="7" t="s">
        <v>160</v>
      </c>
      <c r="D29" s="7" t="s">
        <v>161</v>
      </c>
      <c r="E29" s="7" t="s">
        <v>162</v>
      </c>
      <c r="F29" s="10">
        <v>1</v>
      </c>
      <c r="G29" s="11">
        <v>1</v>
      </c>
      <c r="H29" s="11">
        <v>0</v>
      </c>
      <c r="I29" s="7">
        <f t="shared" si="2"/>
        <v>0</v>
      </c>
      <c r="J29" s="14">
        <v>2</v>
      </c>
      <c r="K29" s="12">
        <f t="shared" si="3"/>
        <v>0</v>
      </c>
      <c r="L29" s="7" t="s">
        <v>163</v>
      </c>
      <c r="M29" s="7" t="s">
        <v>164</v>
      </c>
      <c r="N29" s="7" t="s">
        <v>165</v>
      </c>
      <c r="O29" s="15" t="s">
        <v>151</v>
      </c>
      <c r="P29" s="7" t="s">
        <v>166</v>
      </c>
    </row>
    <row r="30" spans="1:16" ht="99.75" customHeight="1" x14ac:dyDescent="0.25">
      <c r="A30" s="7" t="s">
        <v>167</v>
      </c>
      <c r="B30" s="8" t="s">
        <v>168</v>
      </c>
      <c r="C30" s="7" t="s">
        <v>169</v>
      </c>
      <c r="D30" s="7" t="s">
        <v>170</v>
      </c>
      <c r="E30" s="7" t="s">
        <v>171</v>
      </c>
      <c r="F30" s="10">
        <v>1</v>
      </c>
      <c r="G30" s="11">
        <v>1</v>
      </c>
      <c r="H30" s="11">
        <v>0</v>
      </c>
      <c r="I30" s="7">
        <f t="shared" si="2"/>
        <v>0</v>
      </c>
      <c r="J30" s="14">
        <v>5</v>
      </c>
      <c r="K30" s="12">
        <f t="shared" si="3"/>
        <v>0</v>
      </c>
      <c r="L30" s="7" t="s">
        <v>150</v>
      </c>
      <c r="M30" s="7" t="s">
        <v>172</v>
      </c>
      <c r="N30" s="7" t="s">
        <v>59</v>
      </c>
      <c r="O30" s="15" t="s">
        <v>151</v>
      </c>
      <c r="P30" s="7" t="s">
        <v>173</v>
      </c>
    </row>
    <row r="32" spans="1:16" x14ac:dyDescent="0.25">
      <c r="J32" s="16" t="s">
        <v>174</v>
      </c>
      <c r="K32" s="17">
        <f>SUM(K6:K30)</f>
        <v>58.31</v>
      </c>
    </row>
    <row r="33" spans="1:16" x14ac:dyDescent="0.25">
      <c r="J33" s="16" t="s">
        <v>175</v>
      </c>
      <c r="K33" s="17">
        <f>Leveranciers!F11</f>
        <v>21.41</v>
      </c>
    </row>
    <row r="34" spans="1:16" x14ac:dyDescent="0.25">
      <c r="J34" s="18" t="s">
        <v>176</v>
      </c>
      <c r="K34" s="19">
        <f>K32+K33</f>
        <v>79.72</v>
      </c>
    </row>
    <row r="35" spans="1:16" x14ac:dyDescent="0.25">
      <c r="J35" s="18" t="s">
        <v>177</v>
      </c>
      <c r="K35" s="19">
        <f>K34/(1+Aannames!$B$4)</f>
        <v>65.884297520661164</v>
      </c>
    </row>
    <row r="36" spans="1:16" x14ac:dyDescent="0.25">
      <c r="J36" s="16" t="s">
        <v>178</v>
      </c>
      <c r="K36" s="17">
        <f>K34-K35</f>
        <v>13.835702479338835</v>
      </c>
    </row>
    <row r="37" spans="1:16" x14ac:dyDescent="0.25">
      <c r="J37" s="16" t="s">
        <v>179</v>
      </c>
      <c r="K37" s="17">
        <f>SUMIFS(BOM!$K$6:$K$30,BOM!$O$6:$O$30,"Schatting")</f>
        <v>0</v>
      </c>
    </row>
    <row r="38" spans="1:16" x14ac:dyDescent="0.25">
      <c r="J38" s="16" t="s">
        <v>180</v>
      </c>
      <c r="K38" s="17">
        <f>SUMPRODUCT(G17:G30,J17:J30)</f>
        <v>40.71</v>
      </c>
    </row>
    <row r="39" spans="1:16" x14ac:dyDescent="0.25">
      <c r="J39" s="16" t="s">
        <v>181</v>
      </c>
      <c r="K39" s="17">
        <f>SUMPRODUCT(G14:G16,J14:J16)</f>
        <v>159.93</v>
      </c>
    </row>
    <row r="40" spans="1:16" x14ac:dyDescent="0.25">
      <c r="J40" s="16" t="s">
        <v>182</v>
      </c>
      <c r="K40" s="17">
        <f>F14*J14+F15*J15+F16*J16</f>
        <v>159.93</v>
      </c>
    </row>
    <row r="42" spans="1:16" x14ac:dyDescent="0.25">
      <c r="J42" s="20" t="s">
        <v>183</v>
      </c>
      <c r="K42" s="21" t="str">
        <f>Leveranciers!B13</f>
        <v>OK</v>
      </c>
    </row>
    <row r="45" spans="1:16" x14ac:dyDescent="0.25">
      <c r="A45" s="5" t="s">
        <v>184</v>
      </c>
      <c r="B45" s="6"/>
      <c r="C45" s="6"/>
      <c r="D45" s="6"/>
      <c r="E45" s="6"/>
      <c r="F45" s="6"/>
      <c r="G45" s="6"/>
      <c r="H45" s="6"/>
      <c r="I45" s="6"/>
      <c r="J45" s="6"/>
      <c r="K45" s="6"/>
      <c r="L45" s="6"/>
      <c r="M45" s="6"/>
      <c r="N45" s="6"/>
      <c r="O45" s="6"/>
      <c r="P45" s="6"/>
    </row>
    <row r="46" spans="1:16" ht="30" customHeight="1" x14ac:dyDescent="0.25">
      <c r="A46" s="4" t="s">
        <v>2</v>
      </c>
      <c r="B46" s="4" t="s">
        <v>185</v>
      </c>
      <c r="C46" s="4" t="s">
        <v>4</v>
      </c>
      <c r="D46" s="4" t="s">
        <v>186</v>
      </c>
      <c r="E46" s="4" t="s">
        <v>6</v>
      </c>
      <c r="F46" s="4"/>
      <c r="G46" s="4"/>
      <c r="H46" s="4"/>
      <c r="I46" s="4"/>
      <c r="J46" s="4" t="s">
        <v>187</v>
      </c>
      <c r="K46" s="4"/>
      <c r="L46" s="4" t="s">
        <v>13</v>
      </c>
      <c r="M46" s="4" t="s">
        <v>188</v>
      </c>
      <c r="N46" s="4" t="s">
        <v>189</v>
      </c>
      <c r="O46" s="4" t="s">
        <v>16</v>
      </c>
      <c r="P46" s="4"/>
    </row>
    <row r="47" spans="1:16" ht="99.75" customHeight="1" x14ac:dyDescent="0.25">
      <c r="A47" s="22" t="s">
        <v>190</v>
      </c>
      <c r="B47" s="23" t="s">
        <v>191</v>
      </c>
      <c r="C47" s="22" t="s">
        <v>192</v>
      </c>
      <c r="D47" s="22" t="s">
        <v>193</v>
      </c>
      <c r="E47" s="24" t="s">
        <v>194</v>
      </c>
      <c r="F47" s="25"/>
      <c r="G47" s="25"/>
      <c r="H47" s="25"/>
      <c r="I47" s="25"/>
      <c r="J47" s="26">
        <v>4.5</v>
      </c>
      <c r="K47" s="25"/>
      <c r="L47" s="22" t="s">
        <v>39</v>
      </c>
      <c r="M47" s="22" t="s">
        <v>195</v>
      </c>
      <c r="N47" s="22" t="s">
        <v>196</v>
      </c>
      <c r="O47" s="22" t="s">
        <v>27</v>
      </c>
      <c r="P47" s="25"/>
    </row>
    <row r="48" spans="1:16" ht="99.75" customHeight="1" x14ac:dyDescent="0.25">
      <c r="A48" s="22" t="s">
        <v>197</v>
      </c>
      <c r="B48" s="23" t="s">
        <v>198</v>
      </c>
      <c r="C48" s="22" t="s">
        <v>199</v>
      </c>
      <c r="D48" s="22" t="s">
        <v>200</v>
      </c>
      <c r="E48" s="24" t="s">
        <v>194</v>
      </c>
      <c r="F48" s="25"/>
      <c r="G48" s="25"/>
      <c r="H48" s="25"/>
      <c r="I48" s="25"/>
      <c r="J48" s="26">
        <f>ROUND(18.49*(1+Aannames!$B$4),2)</f>
        <v>22.37</v>
      </c>
      <c r="K48" s="25"/>
      <c r="L48" s="22" t="s">
        <v>24</v>
      </c>
      <c r="M48" s="22" t="s">
        <v>201</v>
      </c>
      <c r="N48" s="22" t="s">
        <v>196</v>
      </c>
      <c r="O48" s="22" t="s">
        <v>27</v>
      </c>
      <c r="P48" s="25"/>
    </row>
    <row r="49" spans="1:16" ht="99.75" customHeight="1" x14ac:dyDescent="0.25">
      <c r="A49" s="22" t="s">
        <v>202</v>
      </c>
      <c r="B49" s="23" t="s">
        <v>203</v>
      </c>
      <c r="C49" s="22" t="s">
        <v>204</v>
      </c>
      <c r="D49" s="22" t="s">
        <v>205</v>
      </c>
      <c r="E49" s="24" t="s">
        <v>194</v>
      </c>
      <c r="F49" s="25"/>
      <c r="G49" s="25"/>
      <c r="H49" s="25"/>
      <c r="I49" s="25"/>
      <c r="J49" s="26">
        <f>ROUND(6.29*(1+Aannames!$B$4),2)</f>
        <v>7.61</v>
      </c>
      <c r="K49" s="25"/>
      <c r="L49" s="22" t="s">
        <v>24</v>
      </c>
      <c r="M49" s="22" t="s">
        <v>201</v>
      </c>
      <c r="N49" s="22" t="s">
        <v>206</v>
      </c>
      <c r="O49" s="22" t="s">
        <v>27</v>
      </c>
      <c r="P49" s="25"/>
    </row>
    <row r="50" spans="1:16" ht="99.75" customHeight="1" x14ac:dyDescent="0.25">
      <c r="A50" s="22" t="s">
        <v>207</v>
      </c>
      <c r="B50" s="23" t="s">
        <v>208</v>
      </c>
      <c r="C50" s="22" t="s">
        <v>209</v>
      </c>
      <c r="D50" s="22" t="s">
        <v>210</v>
      </c>
      <c r="E50" s="24" t="s">
        <v>194</v>
      </c>
      <c r="F50" s="25"/>
      <c r="G50" s="25"/>
      <c r="H50" s="25"/>
      <c r="I50" s="25"/>
      <c r="J50" s="26">
        <v>5.49</v>
      </c>
      <c r="K50" s="25"/>
      <c r="L50" s="22" t="s">
        <v>211</v>
      </c>
      <c r="M50" s="22" t="s">
        <v>212</v>
      </c>
      <c r="N50" s="22" t="s">
        <v>206</v>
      </c>
      <c r="O50" s="22" t="s">
        <v>27</v>
      </c>
      <c r="P50" s="25"/>
    </row>
    <row r="51" spans="1:16" x14ac:dyDescent="0.25">
      <c r="A51" s="3" t="s">
        <v>213</v>
      </c>
    </row>
  </sheetData>
  <hyperlinks>
    <hyperlink ref="E6" r:id="rId1" xr:uid="{00000000-0004-0000-0000-000000000000}"/>
    <hyperlink ref="E7" r:id="rId2" xr:uid="{00000000-0004-0000-0000-000001000000}"/>
    <hyperlink ref="E8" r:id="rId3" xr:uid="{00000000-0004-0000-0000-000002000000}"/>
    <hyperlink ref="E9" r:id="rId4" xr:uid="{00000000-0004-0000-0000-000003000000}"/>
    <hyperlink ref="E10" r:id="rId5" xr:uid="{00000000-0004-0000-0000-000004000000}"/>
    <hyperlink ref="E11" r:id="rId6" xr:uid="{00000000-0004-0000-0000-000005000000}"/>
    <hyperlink ref="E12"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47" r:id="rId21" xr:uid="{00000000-0004-0000-0000-000014000000}"/>
    <hyperlink ref="E48" r:id="rId22" xr:uid="{00000000-0004-0000-0000-000015000000}"/>
    <hyperlink ref="E49" r:id="rId23" xr:uid="{00000000-0004-0000-0000-000016000000}"/>
    <hyperlink ref="E50" r:id="rId24" xr:uid="{00000000-0004-0000-0000-000017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zoomScaleNormal="100" workbookViewId="0"/>
  </sheetViews>
  <sheetFormatPr defaultColWidth="8.7109375" defaultRowHeight="15" x14ac:dyDescent="0.25"/>
  <cols>
    <col min="1" max="1" width="30" customWidth="1"/>
    <col min="2" max="2" width="16" customWidth="1"/>
    <col min="3" max="3" width="14" customWidth="1"/>
    <col min="4" max="4" width="16" customWidth="1"/>
    <col min="5" max="5" width="30" customWidth="1"/>
    <col min="6" max="6" width="14" customWidth="1"/>
    <col min="7" max="7" width="18" customWidth="1"/>
    <col min="8" max="8" width="60" customWidth="1"/>
  </cols>
  <sheetData>
    <row r="1" spans="1:8" ht="18" x14ac:dyDescent="0.25">
      <c r="A1" s="2" t="s">
        <v>214</v>
      </c>
    </row>
    <row r="2" spans="1:8" x14ac:dyDescent="0.25">
      <c r="A2" s="3" t="s">
        <v>215</v>
      </c>
    </row>
    <row r="4" spans="1:8" ht="36" customHeight="1" x14ac:dyDescent="0.25">
      <c r="A4" s="4" t="s">
        <v>13</v>
      </c>
      <c r="B4" s="4" t="s">
        <v>216</v>
      </c>
      <c r="C4" s="4" t="s">
        <v>217</v>
      </c>
      <c r="D4" s="4" t="s">
        <v>218</v>
      </c>
      <c r="E4" s="4" t="s">
        <v>219</v>
      </c>
      <c r="F4" s="4" t="s">
        <v>220</v>
      </c>
      <c r="G4" s="4" t="s">
        <v>221</v>
      </c>
      <c r="H4" s="4" t="s">
        <v>222</v>
      </c>
    </row>
    <row r="5" spans="1:8" ht="25.5" x14ac:dyDescent="0.25">
      <c r="A5" s="7" t="s">
        <v>72</v>
      </c>
      <c r="B5" s="12">
        <f>SUMIFS(BOM!$K$6:$K$30,BOM!$L$6:$L$30,A5)</f>
        <v>0</v>
      </c>
      <c r="C5" s="27">
        <v>50</v>
      </c>
      <c r="D5" s="27">
        <v>4.95</v>
      </c>
      <c r="E5" s="15" t="s">
        <v>223</v>
      </c>
      <c r="F5" s="12">
        <f t="shared" ref="F5:F10" si="0">IF(B5=0,0,IF(B5&gt;=C5,0,D5))</f>
        <v>0</v>
      </c>
      <c r="G5" s="12">
        <f t="shared" ref="G5:G10" si="1">B5+F5</f>
        <v>0</v>
      </c>
      <c r="H5" s="7" t="s">
        <v>224</v>
      </c>
    </row>
    <row r="6" spans="1:8" x14ac:dyDescent="0.25">
      <c r="A6" s="7" t="s">
        <v>85</v>
      </c>
      <c r="B6" s="12">
        <f>SUMIFS(BOM!$K$6:$K$30,BOM!$L$6:$L$30,A6)</f>
        <v>0</v>
      </c>
      <c r="C6" s="27">
        <v>0</v>
      </c>
      <c r="D6" s="27">
        <v>0</v>
      </c>
      <c r="E6" s="7" t="s">
        <v>27</v>
      </c>
      <c r="F6" s="12">
        <f t="shared" si="0"/>
        <v>0</v>
      </c>
      <c r="G6" s="12">
        <f t="shared" si="1"/>
        <v>0</v>
      </c>
      <c r="H6" s="7" t="s">
        <v>225</v>
      </c>
    </row>
    <row r="7" spans="1:8" ht="25.5" x14ac:dyDescent="0.25">
      <c r="A7" s="7" t="s">
        <v>24</v>
      </c>
      <c r="B7" s="12">
        <f>SUMIFS(BOM!$K$6:$K$30,BOM!$L$6:$L$30,A7)</f>
        <v>23.45</v>
      </c>
      <c r="C7" s="27">
        <v>100</v>
      </c>
      <c r="D7" s="27">
        <v>6.64</v>
      </c>
      <c r="E7" s="7" t="s">
        <v>226</v>
      </c>
      <c r="F7" s="12">
        <f t="shared" si="0"/>
        <v>6.64</v>
      </c>
      <c r="G7" s="12">
        <f t="shared" si="1"/>
        <v>30.09</v>
      </c>
      <c r="H7" s="7" t="s">
        <v>227</v>
      </c>
    </row>
    <row r="8" spans="1:8" ht="38.25" x14ac:dyDescent="0.25">
      <c r="A8" s="7" t="s">
        <v>39</v>
      </c>
      <c r="B8" s="12">
        <f>SUMIFS(BOM!$K$6:$K$30,BOM!$L$6:$L$30,A8)</f>
        <v>6.5</v>
      </c>
      <c r="C8" s="27">
        <v>50</v>
      </c>
      <c r="D8" s="27">
        <v>8.82</v>
      </c>
      <c r="E8" s="7" t="s">
        <v>228</v>
      </c>
      <c r="F8" s="12">
        <f t="shared" si="0"/>
        <v>8.82</v>
      </c>
      <c r="G8" s="12">
        <f t="shared" si="1"/>
        <v>15.32</v>
      </c>
      <c r="H8" s="7" t="s">
        <v>229</v>
      </c>
    </row>
    <row r="9" spans="1:8" ht="25.5" x14ac:dyDescent="0.25">
      <c r="A9" s="7" t="s">
        <v>45</v>
      </c>
      <c r="B9" s="12">
        <f>SUMIFS(BOM!$K$6:$K$30,BOM!$L$6:$L$30,A9)</f>
        <v>8.370000000000001</v>
      </c>
      <c r="C9" s="27">
        <v>80</v>
      </c>
      <c r="D9" s="27">
        <v>5.95</v>
      </c>
      <c r="E9" s="7" t="s">
        <v>226</v>
      </c>
      <c r="F9" s="12">
        <f t="shared" si="0"/>
        <v>5.95</v>
      </c>
      <c r="G9" s="12">
        <f t="shared" si="1"/>
        <v>14.32</v>
      </c>
      <c r="H9" s="7" t="s">
        <v>230</v>
      </c>
    </row>
    <row r="10" spans="1:8" ht="25.5" x14ac:dyDescent="0.25">
      <c r="A10" s="7" t="s">
        <v>51</v>
      </c>
      <c r="B10" s="12">
        <f>SUMIFS(BOM!$K$6:$K$30,BOM!$L$6:$L$30,A10)</f>
        <v>19.989999999999998</v>
      </c>
      <c r="C10" s="27">
        <v>0</v>
      </c>
      <c r="D10" s="27">
        <v>0</v>
      </c>
      <c r="E10" s="7" t="s">
        <v>231</v>
      </c>
      <c r="F10" s="12">
        <f t="shared" si="0"/>
        <v>0</v>
      </c>
      <c r="G10" s="12">
        <f t="shared" si="1"/>
        <v>19.989999999999998</v>
      </c>
      <c r="H10" s="7" t="s">
        <v>232</v>
      </c>
    </row>
    <row r="11" spans="1:8" x14ac:dyDescent="0.25">
      <c r="A11" s="18" t="s">
        <v>233</v>
      </c>
      <c r="B11" s="19">
        <f>SUM(B5:B10)</f>
        <v>58.31</v>
      </c>
      <c r="C11" s="28"/>
      <c r="D11" s="28"/>
      <c r="E11" s="28"/>
      <c r="F11" s="19">
        <f>SUM(F5:F10)</f>
        <v>21.41</v>
      </c>
      <c r="G11" s="19">
        <f>SUM(G5:G10)</f>
        <v>79.72</v>
      </c>
      <c r="H11" s="28"/>
    </row>
    <row r="13" spans="1:8" x14ac:dyDescent="0.25">
      <c r="A13" s="21" t="s">
        <v>234</v>
      </c>
      <c r="B13" s="21" t="str">
        <f>IF(ROUND(B11-SUM(BOM!K6:K30),2)=0,"OK","FOUT: leverancier ontbreekt")</f>
        <v>OK</v>
      </c>
    </row>
    <row r="15" spans="1:8" x14ac:dyDescent="0.25">
      <c r="A15" s="3" t="s">
        <v>235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zoomScaleNormal="100" workbookViewId="0"/>
  </sheetViews>
  <sheetFormatPr defaultColWidth="8.7109375" defaultRowHeight="15" x14ac:dyDescent="0.25"/>
  <cols>
    <col min="1" max="1" width="30" customWidth="1"/>
    <col min="2" max="2" width="40" customWidth="1"/>
    <col min="3" max="3" width="11" customWidth="1"/>
    <col min="4" max="4" width="14" customWidth="1"/>
    <col min="5" max="5" width="16" customWidth="1"/>
    <col min="6" max="6" width="46" customWidth="1"/>
    <col min="7" max="7" width="50" customWidth="1"/>
    <col min="8" max="8" width="22" customWidth="1"/>
  </cols>
  <sheetData>
    <row r="1" spans="1:8" ht="18" x14ac:dyDescent="0.25">
      <c r="A1" s="2" t="s">
        <v>236</v>
      </c>
    </row>
    <row r="2" spans="1:8" x14ac:dyDescent="0.25">
      <c r="A2" s="3" t="s">
        <v>237</v>
      </c>
    </row>
    <row r="4" spans="1:8" ht="31.5" customHeight="1" x14ac:dyDescent="0.25">
      <c r="A4" s="4" t="s">
        <v>238</v>
      </c>
      <c r="B4" s="4" t="s">
        <v>185</v>
      </c>
      <c r="C4" s="4" t="s">
        <v>239</v>
      </c>
      <c r="D4" s="4" t="s">
        <v>187</v>
      </c>
      <c r="E4" s="4" t="s">
        <v>240</v>
      </c>
      <c r="F4" s="4" t="s">
        <v>241</v>
      </c>
      <c r="G4" s="4" t="s">
        <v>242</v>
      </c>
      <c r="H4" s="4" t="s">
        <v>243</v>
      </c>
    </row>
    <row r="5" spans="1:8" ht="55.5" customHeight="1" x14ac:dyDescent="0.25">
      <c r="A5" s="7" t="str">
        <f>BOM!B14</f>
        <v>Philips Hue Bridge (v2)</v>
      </c>
      <c r="B5" s="7" t="s">
        <v>244</v>
      </c>
      <c r="C5" s="9" t="s">
        <v>194</v>
      </c>
      <c r="D5" s="13">
        <v>69.989999999999995</v>
      </c>
      <c r="E5" s="12">
        <f>IF(ISNUMBER(D5),D5-BOM!J14,"n.v.t.")</f>
        <v>9.9999999999999929</v>
      </c>
      <c r="F5" s="7" t="s">
        <v>245</v>
      </c>
      <c r="G5" s="7" t="s">
        <v>246</v>
      </c>
      <c r="H5" s="7" t="s">
        <v>247</v>
      </c>
    </row>
    <row r="6" spans="1:8" ht="55.5" customHeight="1" x14ac:dyDescent="0.25">
      <c r="A6" s="7" t="str">
        <f>BOM!B14</f>
        <v>Philips Hue Bridge (v2)</v>
      </c>
      <c r="B6" s="7" t="s">
        <v>248</v>
      </c>
      <c r="C6" s="9" t="s">
        <v>194</v>
      </c>
      <c r="D6" s="13">
        <v>149.99</v>
      </c>
      <c r="E6" s="12">
        <f>IF(ISNUMBER(D6),D6-BOM!J14,"n.v.t.")</f>
        <v>90</v>
      </c>
      <c r="F6" s="7" t="s">
        <v>249</v>
      </c>
      <c r="G6" s="7" t="s">
        <v>250</v>
      </c>
      <c r="H6" s="7" t="s">
        <v>251</v>
      </c>
    </row>
    <row r="7" spans="1:8" ht="55.5" customHeight="1" x14ac:dyDescent="0.25">
      <c r="A7" s="7" t="str">
        <f>BOM!B14</f>
        <v>Philips Hue Bridge (v2)</v>
      </c>
      <c r="B7" s="7" t="s">
        <v>252</v>
      </c>
      <c r="C7" s="9" t="s">
        <v>194</v>
      </c>
      <c r="D7" s="13">
        <v>135</v>
      </c>
      <c r="E7" s="12">
        <f>IF(ISNUMBER(D7),D7-BOM!J14,"n.v.t.")</f>
        <v>75.009999999999991</v>
      </c>
      <c r="F7" s="7" t="s">
        <v>253</v>
      </c>
      <c r="G7" s="7" t="s">
        <v>254</v>
      </c>
      <c r="H7" s="7" t="s">
        <v>255</v>
      </c>
    </row>
    <row r="8" spans="1:8" ht="55.5" customHeight="1" x14ac:dyDescent="0.25">
      <c r="A8" s="7" t="str">
        <f>BOM!B15</f>
        <v>Philips Hue Motion Sensor (binnen)</v>
      </c>
      <c r="B8" s="7" t="s">
        <v>256</v>
      </c>
      <c r="C8" s="9" t="s">
        <v>194</v>
      </c>
      <c r="D8" s="13">
        <v>39.99</v>
      </c>
      <c r="E8" s="12">
        <f>IF(ISNUMBER(D8),D8-BOM!J15,"n.v.t.")</f>
        <v>-5</v>
      </c>
      <c r="F8" s="7" t="s">
        <v>257</v>
      </c>
      <c r="G8" s="7" t="s">
        <v>258</v>
      </c>
      <c r="H8" s="7" t="s">
        <v>259</v>
      </c>
    </row>
    <row r="9" spans="1:8" ht="55.5" customHeight="1" x14ac:dyDescent="0.25">
      <c r="A9" s="7" t="str">
        <f>BOM!B15</f>
        <v>Philips Hue Motion Sensor (binnen)</v>
      </c>
      <c r="B9" s="7" t="s">
        <v>260</v>
      </c>
      <c r="C9" s="9" t="s">
        <v>194</v>
      </c>
      <c r="D9" s="13">
        <v>38.49</v>
      </c>
      <c r="E9" s="12">
        <f>IF(ISNUMBER(D9),D9-BOM!J15,"n.v.t.")</f>
        <v>-6.5</v>
      </c>
      <c r="F9" s="7" t="s">
        <v>261</v>
      </c>
      <c r="G9" s="7" t="s">
        <v>262</v>
      </c>
      <c r="H9" s="7" t="s">
        <v>259</v>
      </c>
    </row>
    <row r="10" spans="1:8" ht="55.5" customHeight="1" x14ac:dyDescent="0.25">
      <c r="A10" s="7" t="str">
        <f>BOM!B16</f>
        <v>Philips Hue White and Color Ambiance E27 1100 lm</v>
      </c>
      <c r="B10" s="7" t="s">
        <v>263</v>
      </c>
      <c r="C10" s="9" t="s">
        <v>194</v>
      </c>
      <c r="D10" s="13">
        <v>17.48</v>
      </c>
      <c r="E10" s="12">
        <f>IF(ISNUMBER(D10),D10-BOM!J16,"n.v.t.")</f>
        <v>-37.47</v>
      </c>
      <c r="F10" s="7" t="s">
        <v>264</v>
      </c>
      <c r="G10" s="7" t="s">
        <v>265</v>
      </c>
      <c r="H10" s="7" t="s">
        <v>266</v>
      </c>
    </row>
    <row r="11" spans="1:8" ht="55.5" customHeight="1" x14ac:dyDescent="0.25">
      <c r="A11" s="7" t="str">
        <f>BOM!B16</f>
        <v>Philips Hue White and Color Ambiance E27 1100 lm</v>
      </c>
      <c r="B11" s="7" t="s">
        <v>267</v>
      </c>
      <c r="C11" s="9" t="s">
        <v>194</v>
      </c>
      <c r="D11" s="13">
        <v>64.989999999999995</v>
      </c>
      <c r="E11" s="12">
        <f>IF(ISNUMBER(D11),D11-BOM!J16,"n.v.t.")</f>
        <v>10.039999999999992</v>
      </c>
      <c r="F11" s="7" t="s">
        <v>268</v>
      </c>
      <c r="G11" s="7" t="s">
        <v>269</v>
      </c>
      <c r="H11" s="7" t="s">
        <v>251</v>
      </c>
    </row>
    <row r="12" spans="1:8" ht="55.5" customHeight="1" x14ac:dyDescent="0.25">
      <c r="A12" s="7" t="str">
        <f>BOM!B10</f>
        <v>E27-fitting met snoer, schakelaar en stekker (zwart, 3,5 m)</v>
      </c>
      <c r="B12" s="7" t="s">
        <v>270</v>
      </c>
      <c r="C12" s="9" t="s">
        <v>194</v>
      </c>
      <c r="D12" s="13">
        <v>10.7</v>
      </c>
      <c r="E12" s="12">
        <f>IF(ISNUMBER(D12),D12-BOM!J10,"n.v.t.")</f>
        <v>-9.2899999999999991</v>
      </c>
      <c r="F12" s="7" t="s">
        <v>271</v>
      </c>
      <c r="G12" s="7" t="s">
        <v>272</v>
      </c>
      <c r="H12" s="7" t="s">
        <v>273</v>
      </c>
    </row>
    <row r="13" spans="1:8" ht="55.5" customHeight="1" x14ac:dyDescent="0.25">
      <c r="A13" s="7" t="str">
        <f>BOM!B6</f>
        <v>AS7341 kleur-/spectraalsensor</v>
      </c>
      <c r="B13" s="7" t="s">
        <v>274</v>
      </c>
      <c r="C13" s="9" t="s">
        <v>194</v>
      </c>
      <c r="D13" s="12" t="s">
        <v>275</v>
      </c>
      <c r="E13" s="12" t="str">
        <f>IF(ISNUMBER(D13),D13-BOM!J6,"n.v.t.")</f>
        <v>n.v.t.</v>
      </c>
      <c r="F13" s="7" t="s">
        <v>276</v>
      </c>
      <c r="G13" s="7" t="s">
        <v>277</v>
      </c>
      <c r="H13" s="7" t="s">
        <v>273</v>
      </c>
    </row>
    <row r="14" spans="1:8" ht="55.5" customHeight="1" x14ac:dyDescent="0.25">
      <c r="A14" s="7" t="str">
        <f>BOM!B6</f>
        <v>AS7341 kleur-/spectraalsensor</v>
      </c>
      <c r="B14" s="7" t="s">
        <v>278</v>
      </c>
      <c r="C14" s="9" t="s">
        <v>194</v>
      </c>
      <c r="D14" s="12" t="s">
        <v>275</v>
      </c>
      <c r="E14" s="12" t="str">
        <f>IF(ISNUMBER(D14),D14-BOM!J6,"n.v.t.")</f>
        <v>n.v.t.</v>
      </c>
      <c r="F14" s="7" t="s">
        <v>279</v>
      </c>
      <c r="G14" s="7" t="s">
        <v>280</v>
      </c>
      <c r="H14" s="7" t="s">
        <v>273</v>
      </c>
    </row>
    <row r="15" spans="1:8" ht="55.5" customHeight="1" x14ac:dyDescent="0.25">
      <c r="A15" s="7" t="str">
        <f>BOM!B6</f>
        <v>AS7341 kleur-/spectraalsensor</v>
      </c>
      <c r="B15" s="7" t="s">
        <v>281</v>
      </c>
      <c r="C15" s="9" t="s">
        <v>194</v>
      </c>
      <c r="D15" s="12" t="s">
        <v>275</v>
      </c>
      <c r="E15" s="12" t="str">
        <f>IF(ISNUMBER(D15),D15-BOM!J6,"n.v.t.")</f>
        <v>n.v.t.</v>
      </c>
      <c r="F15" s="7" t="s">
        <v>279</v>
      </c>
      <c r="G15" s="7" t="s">
        <v>280</v>
      </c>
      <c r="H15" s="7" t="s">
        <v>273</v>
      </c>
    </row>
  </sheetData>
  <hyperlinks>
    <hyperlink ref="C5" r:id="rId1" xr:uid="{00000000-0004-0000-0200-000000000000}"/>
    <hyperlink ref="C6" r:id="rId2" xr:uid="{00000000-0004-0000-0200-000001000000}"/>
    <hyperlink ref="C7" r:id="rId3" xr:uid="{00000000-0004-0000-0200-000002000000}"/>
    <hyperlink ref="C8" r:id="rId4" xr:uid="{00000000-0004-0000-0200-000003000000}"/>
    <hyperlink ref="C9" r:id="rId5" xr:uid="{00000000-0004-0000-0200-000004000000}"/>
    <hyperlink ref="C10" r:id="rId6" xr:uid="{00000000-0004-0000-0200-000005000000}"/>
    <hyperlink ref="C11" r:id="rId7" xr:uid="{00000000-0004-0000-0200-000006000000}"/>
    <hyperlink ref="C12" r:id="rId8" xr:uid="{00000000-0004-0000-0200-000007000000}"/>
    <hyperlink ref="C13" r:id="rId9" xr:uid="{00000000-0004-0000-0200-000008000000}"/>
    <hyperlink ref="C14" r:id="rId10" xr:uid="{00000000-0004-0000-0200-000009000000}"/>
    <hyperlink ref="C15" r:id="rId11" xr:uid="{00000000-0004-0000-0200-00000A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zoomScaleNormal="100" workbookViewId="0"/>
  </sheetViews>
  <sheetFormatPr defaultColWidth="8.7109375" defaultRowHeight="15" x14ac:dyDescent="0.25"/>
  <cols>
    <col min="1" max="1" width="28" customWidth="1"/>
    <col min="2" max="2" width="34" customWidth="1"/>
    <col min="3" max="3" width="12" customWidth="1"/>
    <col min="4" max="4" width="100" customWidth="1"/>
  </cols>
  <sheetData>
    <row r="1" spans="1:4" ht="18" x14ac:dyDescent="0.25">
      <c r="A1" s="2" t="s">
        <v>282</v>
      </c>
    </row>
    <row r="2" spans="1:4" x14ac:dyDescent="0.25">
      <c r="A2" s="3" t="s">
        <v>283</v>
      </c>
    </row>
    <row r="4" spans="1:4" x14ac:dyDescent="0.25">
      <c r="A4" s="4" t="s">
        <v>284</v>
      </c>
      <c r="B4" s="4" t="s">
        <v>285</v>
      </c>
      <c r="C4" s="4" t="s">
        <v>286</v>
      </c>
      <c r="D4" s="4" t="s">
        <v>287</v>
      </c>
    </row>
    <row r="5" spans="1:4" ht="78" customHeight="1" x14ac:dyDescent="0.25">
      <c r="A5" s="8" t="s">
        <v>288</v>
      </c>
      <c r="B5" s="7" t="s">
        <v>289</v>
      </c>
      <c r="C5" s="29" t="s">
        <v>290</v>
      </c>
      <c r="D5" s="7" t="s">
        <v>291</v>
      </c>
    </row>
    <row r="6" spans="1:4" ht="78" customHeight="1" x14ac:dyDescent="0.25">
      <c r="A6" s="8" t="s">
        <v>292</v>
      </c>
      <c r="B6" s="7" t="s">
        <v>293</v>
      </c>
      <c r="C6" s="29" t="s">
        <v>290</v>
      </c>
      <c r="D6" s="7" t="s">
        <v>294</v>
      </c>
    </row>
    <row r="7" spans="1:4" ht="78" customHeight="1" x14ac:dyDescent="0.25">
      <c r="A7" s="8" t="s">
        <v>295</v>
      </c>
      <c r="B7" s="7" t="s">
        <v>296</v>
      </c>
      <c r="C7" s="29" t="s">
        <v>290</v>
      </c>
      <c r="D7" s="7" t="s">
        <v>297</v>
      </c>
    </row>
    <row r="8" spans="1:4" ht="78" customHeight="1" x14ac:dyDescent="0.25">
      <c r="A8" s="8" t="s">
        <v>298</v>
      </c>
      <c r="B8" s="7" t="s">
        <v>299</v>
      </c>
      <c r="C8" s="30" t="s">
        <v>300</v>
      </c>
      <c r="D8" s="7" t="s">
        <v>301</v>
      </c>
    </row>
    <row r="9" spans="1:4" ht="78" customHeight="1" x14ac:dyDescent="0.25">
      <c r="A9" s="8" t="s">
        <v>302</v>
      </c>
      <c r="B9" s="7" t="s">
        <v>303</v>
      </c>
      <c r="C9" s="29" t="s">
        <v>290</v>
      </c>
      <c r="D9" s="7" t="s">
        <v>304</v>
      </c>
    </row>
    <row r="10" spans="1:4" ht="78" customHeight="1" x14ac:dyDescent="0.25">
      <c r="A10" s="8" t="s">
        <v>305</v>
      </c>
      <c r="B10" s="7" t="s">
        <v>306</v>
      </c>
      <c r="C10" s="29" t="s">
        <v>290</v>
      </c>
      <c r="D10" s="7" t="s">
        <v>307</v>
      </c>
    </row>
    <row r="11" spans="1:4" ht="78" customHeight="1" x14ac:dyDescent="0.25">
      <c r="A11" s="8" t="s">
        <v>308</v>
      </c>
      <c r="B11" s="7" t="s">
        <v>309</v>
      </c>
      <c r="C11" s="30" t="s">
        <v>300</v>
      </c>
      <c r="D11" s="7" t="s">
        <v>310</v>
      </c>
    </row>
    <row r="12" spans="1:4" ht="78" customHeight="1" x14ac:dyDescent="0.25">
      <c r="A12" s="8" t="s">
        <v>311</v>
      </c>
      <c r="B12" s="7" t="s">
        <v>312</v>
      </c>
      <c r="C12" s="30" t="s">
        <v>300</v>
      </c>
      <c r="D12" s="7" t="s">
        <v>313</v>
      </c>
    </row>
    <row r="13" spans="1:4" ht="78" customHeight="1" x14ac:dyDescent="0.25">
      <c r="A13" s="8" t="s">
        <v>314</v>
      </c>
      <c r="B13" s="7" t="s">
        <v>315</v>
      </c>
      <c r="C13" s="30" t="s">
        <v>300</v>
      </c>
      <c r="D13" s="7" t="s">
        <v>316</v>
      </c>
    </row>
    <row r="14" spans="1:4" ht="78" customHeight="1" x14ac:dyDescent="0.25">
      <c r="A14" s="8" t="s">
        <v>317</v>
      </c>
      <c r="B14" s="7" t="s">
        <v>318</v>
      </c>
      <c r="C14" s="30" t="s">
        <v>300</v>
      </c>
      <c r="D14" s="7" t="s">
        <v>319</v>
      </c>
    </row>
    <row r="15" spans="1:4" ht="78" customHeight="1" x14ac:dyDescent="0.25">
      <c r="A15" s="8" t="s">
        <v>320</v>
      </c>
      <c r="B15" s="7" t="s">
        <v>321</v>
      </c>
      <c r="C15" s="29" t="s">
        <v>290</v>
      </c>
      <c r="D15" s="7" t="s">
        <v>322</v>
      </c>
    </row>
    <row r="16" spans="1:4" ht="78" customHeight="1" x14ac:dyDescent="0.25">
      <c r="A16" s="8" t="s">
        <v>323</v>
      </c>
      <c r="B16" s="7" t="s">
        <v>324</v>
      </c>
      <c r="C16" s="30" t="s">
        <v>300</v>
      </c>
      <c r="D16" s="7" t="s">
        <v>325</v>
      </c>
    </row>
    <row r="17" spans="1:4" ht="78" customHeight="1" x14ac:dyDescent="0.25">
      <c r="A17" s="8" t="s">
        <v>326</v>
      </c>
      <c r="B17" s="7" t="s">
        <v>327</v>
      </c>
      <c r="C17" s="30" t="s">
        <v>300</v>
      </c>
      <c r="D17" s="7" t="s">
        <v>328</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6"/>
  <sheetViews>
    <sheetView zoomScaleNormal="100" workbookViewId="0"/>
  </sheetViews>
  <sheetFormatPr defaultColWidth="8.7109375" defaultRowHeight="15" x14ac:dyDescent="0.25"/>
  <cols>
    <col min="1" max="1" width="34" customWidth="1"/>
    <col min="2" max="2" width="62" customWidth="1"/>
    <col min="3" max="3" width="70" customWidth="1"/>
  </cols>
  <sheetData>
    <row r="1" spans="1:3" ht="18" x14ac:dyDescent="0.25">
      <c r="A1" s="2" t="s">
        <v>329</v>
      </c>
    </row>
    <row r="3" spans="1:3" x14ac:dyDescent="0.25">
      <c r="A3" s="4" t="s">
        <v>330</v>
      </c>
      <c r="B3" s="4" t="s">
        <v>331</v>
      </c>
      <c r="C3" s="4" t="s">
        <v>332</v>
      </c>
    </row>
    <row r="4" spans="1:3" ht="49.5" customHeight="1" x14ac:dyDescent="0.25">
      <c r="A4" s="7" t="s">
        <v>333</v>
      </c>
      <c r="B4" s="7" t="s">
        <v>334</v>
      </c>
      <c r="C4" s="7" t="s">
        <v>335</v>
      </c>
    </row>
    <row r="5" spans="1:3" ht="49.5" customHeight="1" x14ac:dyDescent="0.25">
      <c r="A5" s="7" t="s">
        <v>336</v>
      </c>
      <c r="B5" s="7" t="s">
        <v>337</v>
      </c>
      <c r="C5" s="7" t="s">
        <v>338</v>
      </c>
    </row>
    <row r="6" spans="1:3" ht="49.5" customHeight="1" x14ac:dyDescent="0.25">
      <c r="A6" s="7" t="s">
        <v>339</v>
      </c>
      <c r="B6" s="7" t="s">
        <v>340</v>
      </c>
      <c r="C6" s="7" t="s">
        <v>341</v>
      </c>
    </row>
    <row r="7" spans="1:3" ht="49.5" customHeight="1" x14ac:dyDescent="0.25">
      <c r="A7" s="7" t="s">
        <v>342</v>
      </c>
      <c r="B7" s="7" t="s">
        <v>343</v>
      </c>
      <c r="C7" s="7" t="s">
        <v>344</v>
      </c>
    </row>
    <row r="8" spans="1:3" ht="49.5" customHeight="1" x14ac:dyDescent="0.25">
      <c r="A8" s="7" t="s">
        <v>345</v>
      </c>
      <c r="B8" s="7" t="s">
        <v>346</v>
      </c>
      <c r="C8" s="7" t="s">
        <v>347</v>
      </c>
    </row>
    <row r="9" spans="1:3" ht="49.5" customHeight="1" x14ac:dyDescent="0.25">
      <c r="A9" s="7" t="s">
        <v>348</v>
      </c>
      <c r="B9" s="7" t="s">
        <v>349</v>
      </c>
      <c r="C9" s="7" t="s">
        <v>350</v>
      </c>
    </row>
    <row r="10" spans="1:3" ht="49.5" customHeight="1" x14ac:dyDescent="0.25">
      <c r="A10" s="7" t="s">
        <v>351</v>
      </c>
      <c r="B10" s="7" t="s">
        <v>352</v>
      </c>
      <c r="C10" s="7" t="s">
        <v>353</v>
      </c>
    </row>
    <row r="11" spans="1:3" ht="49.5" customHeight="1" x14ac:dyDescent="0.25">
      <c r="A11" s="7" t="s">
        <v>354</v>
      </c>
      <c r="B11" s="7" t="s">
        <v>355</v>
      </c>
      <c r="C11" s="7" t="s">
        <v>356</v>
      </c>
    </row>
    <row r="12" spans="1:3" ht="49.5" customHeight="1" x14ac:dyDescent="0.25">
      <c r="A12" s="7" t="s">
        <v>357</v>
      </c>
      <c r="B12" s="7" t="s">
        <v>358</v>
      </c>
      <c r="C12" s="7" t="s">
        <v>359</v>
      </c>
    </row>
    <row r="13" spans="1:3" ht="49.5" customHeight="1" x14ac:dyDescent="0.25">
      <c r="A13" s="7" t="s">
        <v>360</v>
      </c>
      <c r="B13" s="7" t="s">
        <v>361</v>
      </c>
      <c r="C13" s="7" t="s">
        <v>362</v>
      </c>
    </row>
    <row r="14" spans="1:3" ht="49.5" customHeight="1" x14ac:dyDescent="0.25">
      <c r="A14" s="7" t="s">
        <v>363</v>
      </c>
      <c r="B14" s="7" t="s">
        <v>364</v>
      </c>
      <c r="C14" s="7" t="s">
        <v>365</v>
      </c>
    </row>
    <row r="15" spans="1:3" ht="49.5" customHeight="1" x14ac:dyDescent="0.25">
      <c r="A15" s="7" t="s">
        <v>366</v>
      </c>
      <c r="B15" s="7" t="s">
        <v>367</v>
      </c>
      <c r="C15" s="7" t="s">
        <v>368</v>
      </c>
    </row>
    <row r="16" spans="1:3" ht="49.5" customHeight="1" x14ac:dyDescent="0.25">
      <c r="A16" s="7" t="s">
        <v>369</v>
      </c>
      <c r="B16" s="7" t="s">
        <v>370</v>
      </c>
      <c r="C16" s="7" t="s">
        <v>371</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0"/>
  <sheetViews>
    <sheetView zoomScaleNormal="100" workbookViewId="0"/>
  </sheetViews>
  <sheetFormatPr defaultColWidth="8.7109375" defaultRowHeight="15" x14ac:dyDescent="0.25"/>
  <cols>
    <col min="1" max="1" width="34" customWidth="1"/>
    <col min="2" max="2" width="16" customWidth="1"/>
    <col min="3" max="3" width="95" customWidth="1"/>
  </cols>
  <sheetData>
    <row r="1" spans="1:3" ht="18" x14ac:dyDescent="0.25">
      <c r="A1" s="2" t="s">
        <v>372</v>
      </c>
    </row>
    <row r="3" spans="1:3" x14ac:dyDescent="0.25">
      <c r="A3" s="4" t="s">
        <v>373</v>
      </c>
      <c r="B3" s="4" t="s">
        <v>374</v>
      </c>
      <c r="C3" s="4" t="s">
        <v>375</v>
      </c>
    </row>
    <row r="4" spans="1:3" ht="25.5" x14ac:dyDescent="0.25">
      <c r="A4" s="7" t="s">
        <v>376</v>
      </c>
      <c r="B4" s="31">
        <v>0.21</v>
      </c>
      <c r="C4" s="7" t="s">
        <v>377</v>
      </c>
    </row>
    <row r="5" spans="1:3" ht="25.5" x14ac:dyDescent="0.25">
      <c r="A5" s="7" t="s">
        <v>378</v>
      </c>
      <c r="B5" s="7" t="s">
        <v>379</v>
      </c>
      <c r="C5" s="7" t="s">
        <v>380</v>
      </c>
    </row>
    <row r="6" spans="1:3" x14ac:dyDescent="0.25">
      <c r="A6" s="7" t="s">
        <v>381</v>
      </c>
      <c r="B6" s="7" t="s">
        <v>382</v>
      </c>
      <c r="C6" s="7" t="s">
        <v>383</v>
      </c>
    </row>
    <row r="8" spans="1:3" x14ac:dyDescent="0.25">
      <c r="A8" s="21" t="s">
        <v>384</v>
      </c>
    </row>
    <row r="9" spans="1:3" ht="43.5" customHeight="1" x14ac:dyDescent="0.25">
      <c r="A9" s="1" t="s">
        <v>385</v>
      </c>
      <c r="B9" s="1"/>
      <c r="C9" s="1"/>
    </row>
    <row r="10" spans="1:3" ht="43.5" customHeight="1" x14ac:dyDescent="0.25">
      <c r="A10" s="1" t="s">
        <v>386</v>
      </c>
      <c r="B10" s="1"/>
      <c r="C10" s="1"/>
    </row>
    <row r="11" spans="1:3" ht="43.5" customHeight="1" x14ac:dyDescent="0.25">
      <c r="A11" s="1" t="s">
        <v>387</v>
      </c>
      <c r="B11" s="1"/>
      <c r="C11" s="1"/>
    </row>
    <row r="12" spans="1:3" ht="43.5" customHeight="1" x14ac:dyDescent="0.25">
      <c r="A12" s="1" t="s">
        <v>388</v>
      </c>
      <c r="B12" s="1"/>
      <c r="C12" s="1"/>
    </row>
    <row r="13" spans="1:3" ht="43.5" customHeight="1" x14ac:dyDescent="0.25">
      <c r="A13" s="1" t="s">
        <v>389</v>
      </c>
      <c r="B13" s="1"/>
      <c r="C13" s="1"/>
    </row>
    <row r="14" spans="1:3" ht="43.5" customHeight="1" x14ac:dyDescent="0.25">
      <c r="A14" s="1" t="s">
        <v>390</v>
      </c>
      <c r="B14" s="1"/>
      <c r="C14" s="1"/>
    </row>
    <row r="15" spans="1:3" ht="43.5" customHeight="1" x14ac:dyDescent="0.25">
      <c r="A15" s="1" t="s">
        <v>391</v>
      </c>
      <c r="B15" s="1"/>
      <c r="C15" s="1"/>
    </row>
    <row r="16" spans="1:3" ht="43.5" customHeight="1" x14ac:dyDescent="0.25">
      <c r="A16" s="1" t="s">
        <v>392</v>
      </c>
      <c r="B16" s="1"/>
      <c r="C16" s="1"/>
    </row>
    <row r="17" spans="1:3" ht="43.5" customHeight="1" x14ac:dyDescent="0.25">
      <c r="A17" s="1" t="s">
        <v>393</v>
      </c>
      <c r="B17" s="1"/>
      <c r="C17" s="1"/>
    </row>
    <row r="18" spans="1:3" ht="43.5" customHeight="1" x14ac:dyDescent="0.25">
      <c r="A18" s="1" t="s">
        <v>394</v>
      </c>
      <c r="B18" s="1"/>
      <c r="C18" s="1"/>
    </row>
    <row r="19" spans="1:3" ht="43.5" customHeight="1" x14ac:dyDescent="0.25">
      <c r="A19" s="1" t="s">
        <v>395</v>
      </c>
      <c r="B19" s="1"/>
      <c r="C19" s="1"/>
    </row>
    <row r="20" spans="1:3" ht="43.5" customHeight="1" x14ac:dyDescent="0.25">
      <c r="A20" s="1" t="s">
        <v>396</v>
      </c>
      <c r="B20" s="1"/>
      <c r="C20" s="1"/>
    </row>
  </sheetData>
  <mergeCells count="12">
    <mergeCell ref="A19:C19"/>
    <mergeCell ref="A20:C20"/>
    <mergeCell ref="A14:C14"/>
    <mergeCell ref="A15:C15"/>
    <mergeCell ref="A16:C16"/>
    <mergeCell ref="A17:C17"/>
    <mergeCell ref="A18:C18"/>
    <mergeCell ref="A9:C9"/>
    <mergeCell ref="A10:C10"/>
    <mergeCell ref="A11:C11"/>
    <mergeCell ref="A12:C12"/>
    <mergeCell ref="A13:C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Werkbladen</vt:lpstr>
      </vt:variant>
      <vt:variant>
        <vt:i4>6</vt:i4>
      </vt:variant>
    </vt:vector>
  </HeadingPairs>
  <TitlesOfParts>
    <vt:vector size="6" baseType="lpstr">
      <vt:lpstr>BOM</vt:lpstr>
      <vt:lpstr>Leveranciers</vt:lpstr>
      <vt:lpstr>Alternatieven</vt:lpstr>
      <vt:lpstr>Compatibiliteit</vt:lpstr>
      <vt:lpstr>Wijzigingen</vt:lpstr>
      <vt:lpstr>Aannames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Runar Jans</cp:lastModifiedBy>
  <cp:revision>0</cp:revision>
  <dcterms:created xsi:type="dcterms:W3CDTF">2026-10-26T15:38:48Z</dcterms:created>
  <dcterms:modified xsi:type="dcterms:W3CDTF">2026-10-26T15:51:03Z</dcterms:modified>
  <dc:language>en-US</dc:language>
</cp:coreProperties>
</file>